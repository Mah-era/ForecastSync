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6024c0ad4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f41a22097f1d4243"/>
    <x:sheet xmlns:r="http://schemas.openxmlformats.org/officeDocument/2006/relationships" name="Historical_Sales" sheetId="2" r:id="R0deb8c5a03a24c16"/>
    <x:sheet xmlns:r="http://schemas.openxmlformats.org/officeDocument/2006/relationships" name="Inventory" sheetId="3" r:id="R98befeb3e982438c"/>
    <x:sheet xmlns:r="http://schemas.openxmlformats.org/officeDocument/2006/relationships" name="Promotions" sheetId="4" r:id="R99967cc7505c4b26"/>
    <x:sheet xmlns:r="http://schemas.openxmlformats.org/officeDocument/2006/relationships" name="Competitors" sheetId="5" r:id="R9a5d491d4add46df"/>
    <x:sheet xmlns:r="http://schemas.openxmlformats.org/officeDocument/2006/relationships" name="Economic" sheetId="6" r:id="Rf36d1ae366b34045"/>
    <x:sheet xmlns:r="http://schemas.openxmlformats.org/officeDocument/2006/relationships" name="Lead_Time" sheetId="7" r:id="R7210b4d557014d43"/>
    <x:sheet xmlns:r="http://schemas.openxmlformats.org/officeDocument/2006/relationships" name="Forecast_Actual" sheetId="8" r:id="Re0b6d2efc11e4fe6"/>
    <x:sheet xmlns:r="http://schemas.openxmlformats.org/officeDocument/2006/relationships" name="Regional_Demand_Map" sheetId="9" r:id="R1c7d17e95012422d"/>
    <x:sheet xmlns:r="http://schemas.openxmlformats.org/officeDocument/2006/relationships" name="SCM_Flow_Map" sheetId="10" r:id="Rc35fb5221d5949be"/>
    <x:sheet xmlns:r="http://schemas.openxmlformats.org/officeDocument/2006/relationships" name="Customer_Patterns" sheetId="11" r:id="Re3dac28f601d48d0"/>
    <x:sheet xmlns:r="http://schemas.openxmlformats.org/officeDocument/2006/relationships" name="Technology_Data" sheetId="12" r:id="R9cc7fb44044f4ba1"/>
    <x:sheet xmlns:r="http://schemas.openxmlformats.org/officeDocument/2006/relationships" name="Web_Search_Seeds" sheetId="13" r:id="R1ebc9ed15ca74326"/>
    <x:sheet xmlns:r="http://schemas.openxmlformats.org/officeDocument/2006/relationships" name="Manual_Expert_Opinion" sheetId="14" r:id="R6edd73cca7ea4af9"/>
    <x:sheet xmlns:r="http://schemas.openxmlformats.org/officeDocument/2006/relationships" name="Data_Issues" sheetId="15" r:id="R952461813c67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eb7382cea4ef8" /><Relationship Type="http://schemas.openxmlformats.org/officeDocument/2006/relationships/theme" Target="/xl/theme/theme1.xml" Id="Rd4cb67e1b4ca4c75" /><Relationship Type="http://schemas.openxmlformats.org/officeDocument/2006/relationships/sharedStrings" Target="/xl/sharedStrings.xml" Id="Red085e2fc42f4384" /><Relationship Type="http://schemas.openxmlformats.org/officeDocument/2006/relationships/worksheet" Target="/xl/worksheets/sheet1.xml" Id="Rf41a22097f1d4243" /><Relationship Type="http://schemas.openxmlformats.org/officeDocument/2006/relationships/worksheet" Target="/xl/worksheets/sheet2.xml" Id="R0deb8c5a03a24c16" /><Relationship Type="http://schemas.openxmlformats.org/officeDocument/2006/relationships/worksheet" Target="/xl/worksheets/sheet3.xml" Id="R98befeb3e982438c" /><Relationship Type="http://schemas.openxmlformats.org/officeDocument/2006/relationships/worksheet" Target="/xl/worksheets/sheet4.xml" Id="R99967cc7505c4b26" /><Relationship Type="http://schemas.openxmlformats.org/officeDocument/2006/relationships/worksheet" Target="/xl/worksheets/sheet5.xml" Id="R9a5d491d4add46df" /><Relationship Type="http://schemas.openxmlformats.org/officeDocument/2006/relationships/worksheet" Target="/xl/worksheets/sheet6.xml" Id="Rf36d1ae366b34045" /><Relationship Type="http://schemas.openxmlformats.org/officeDocument/2006/relationships/worksheet" Target="/xl/worksheets/sheet7.xml" Id="R7210b4d557014d43" /><Relationship Type="http://schemas.openxmlformats.org/officeDocument/2006/relationships/worksheet" Target="/xl/worksheets/sheet8.xml" Id="Re0b6d2efc11e4fe6" /><Relationship Type="http://schemas.openxmlformats.org/officeDocument/2006/relationships/worksheet" Target="/xl/worksheets/sheet9.xml" Id="R1c7d17e95012422d" /><Relationship Type="http://schemas.openxmlformats.org/officeDocument/2006/relationships/worksheet" Target="/xl/worksheets/sheet10.xml" Id="Rc35fb5221d5949be" /><Relationship Type="http://schemas.openxmlformats.org/officeDocument/2006/relationships/worksheet" Target="/xl/worksheets/sheet11.xml" Id="Re3dac28f601d48d0" /><Relationship Type="http://schemas.openxmlformats.org/officeDocument/2006/relationships/worksheet" Target="/xl/worksheets/sheet12.xml" Id="R9cc7fb44044f4ba1" /><Relationship Type="http://schemas.openxmlformats.org/officeDocument/2006/relationships/worksheet" Target="/xl/worksheets/sheet13.xml" Id="R1ebc9ed15ca74326" /><Relationship Type="http://schemas.openxmlformats.org/officeDocument/2006/relationships/worksheet" Target="/xl/worksheets/sheet14.xml" Id="R6edd73cca7ea4af9" /><Relationship Type="http://schemas.openxmlformats.org/officeDocument/2006/relationships/worksheet" Target="/xl/worksheets/sheet15.xml" Id="R952461813c67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DPF-05</x:v>
      </x:c>
    </x:row>
    <x:row r="3">
      <x:c r="A3" t="str">
        <x:v>Scenario Title</x:v>
      </x:c>
      <x:c r="B3" t="str">
        <x:v>High Promotion Uplift</x:v>
      </x:c>
    </x:row>
    <x:row r="4">
      <x:c r="A4" t="str">
        <x:v>Purpose</x:v>
      </x:c>
      <x:c r="B4" t="str">
        <x:v>Test promotion impact with strong sales response.</x:v>
      </x:c>
    </x:row>
    <x:row r="5">
      <x:c r="A5" t="str">
        <x:v>Product Name</x:v>
      </x:c>
      <x:c r="B5" t="str">
        <x:v>Bata Sandal</x:v>
      </x:c>
    </x:row>
    <x:row r="6">
      <x:c r="A6" t="str">
        <x:v>Category</x:v>
      </x:c>
      <x:c r="B6" t="str">
        <x:v>Footwear</x:v>
      </x:c>
    </x:row>
    <x:row r="7">
      <x:c r="A7" t="str">
        <x:v>Brand</x:v>
      </x:c>
      <x:c r="B7" t="str">
        <x:v>Bata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Promotions, Historical Sales, Inventory</x:v>
      </x:c>
    </x:row>
    <x:row r="11">
      <x:c r="A11" t="str">
        <x:v>Recommended Inputs To Tick</x:v>
      </x:c>
      <x:c r="B11" t="str">
        <x:v>Historical Sales Data, Promotions &amp; Discounts, Inventory Levels</x:v>
      </x:c>
    </x:row>
    <x:row r="12">
      <x:c r="A12" t="str">
        <x:v>Recommended Outputs To Tick</x:v>
      </x:c>
      <x:c r="B12" t="str">
        <x:v>Promotion Impact Analysis, Demand Forecast, Stockout Risk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Bata Sandal</x:v>
      </x:c>
      <x:c r="C2" t="str">
        <x:v>Footwear</x:v>
      </x:c>
      <x:c r="D2" t="str">
        <x:v>Bata</x:v>
      </x:c>
      <x:c r="E2" t="str">
        <x:v>Dhaka</x:v>
      </x:c>
      <x:c r="F2" t="str">
        <x:v>Retail</x:v>
      </x:c>
      <x:c r="G2" t="n">
        <x:v>1328</x:v>
      </x:c>
      <x:c r="H2" t="n">
        <x:v>950</x:v>
      </x:c>
      <x:c r="I2" t="n">
        <x:v>1261600</x:v>
      </x:c>
      <x:c r="J2" t="str"/>
    </x:row>
    <x:row r="3">
      <x:c r="A3" t="n">
        <x:v>45323</x:v>
      </x:c>
      <x:c r="B3" t="str">
        <x:v>Bata Sandal</x:v>
      </x:c>
      <x:c r="C3" t="str">
        <x:v>Footwear</x:v>
      </x:c>
      <x:c r="D3" t="str">
        <x:v>Bata</x:v>
      </x:c>
      <x:c r="E3" t="str">
        <x:v>Chattogram</x:v>
      </x:c>
      <x:c r="F3" t="str">
        <x:v>Online</x:v>
      </x:c>
      <x:c r="G3" t="n">
        <x:v>1416</x:v>
      </x:c>
      <x:c r="H3" t="n">
        <x:v>950</x:v>
      </x:c>
      <x:c r="I3" t="n">
        <x:v>1345200</x:v>
      </x:c>
      <x:c r="J3" t="str"/>
    </x:row>
    <x:row r="4">
      <x:c r="A4" t="n">
        <x:v>45352</x:v>
      </x:c>
      <x:c r="B4" t="str">
        <x:v>Bata Sandal</x:v>
      </x:c>
      <x:c r="C4" t="str">
        <x:v>Footwear</x:v>
      </x:c>
      <x:c r="D4" t="str">
        <x:v>Bata</x:v>
      </x:c>
      <x:c r="E4" t="str">
        <x:v>Sylhet</x:v>
      </x:c>
      <x:c r="F4" t="str">
        <x:v>Wholesale</x:v>
      </x:c>
      <x:c r="G4" t="n">
        <x:v>1242</x:v>
      </x:c>
      <x:c r="H4" t="n">
        <x:v>950</x:v>
      </x:c>
      <x:c r="I4" t="n">
        <x:v>1179900</x:v>
      </x:c>
      <x:c r="J4" t="str"/>
    </x:row>
    <x:row r="5">
      <x:c r="A5" t="n">
        <x:v>45383</x:v>
      </x:c>
      <x:c r="B5" t="str">
        <x:v>Bata Sandal</x:v>
      </x:c>
      <x:c r="C5" t="str">
        <x:v>Footwear</x:v>
      </x:c>
      <x:c r="D5" t="str">
        <x:v>Bata</x:v>
      </x:c>
      <x:c r="E5" t="str">
        <x:v>Rajshahi</x:v>
      </x:c>
      <x:c r="F5" t="str">
        <x:v>Modern Trade</x:v>
      </x:c>
      <x:c r="G5" t="n">
        <x:v>1233</x:v>
      </x:c>
      <x:c r="H5" t="n">
        <x:v>950</x:v>
      </x:c>
      <x:c r="I5" t="n">
        <x:v>1171350</x:v>
      </x:c>
      <x:c r="J5" t="str"/>
    </x:row>
    <x:row r="6">
      <x:c r="A6" t="n">
        <x:v>45413</x:v>
      </x:c>
      <x:c r="B6" t="str">
        <x:v>Bata Sandal</x:v>
      </x:c>
      <x:c r="C6" t="str">
        <x:v>Footwear</x:v>
      </x:c>
      <x:c r="D6" t="str">
        <x:v>Bata</x:v>
      </x:c>
      <x:c r="E6" t="str">
        <x:v>Khulna</x:v>
      </x:c>
      <x:c r="F6" t="str">
        <x:v>Retail</x:v>
      </x:c>
      <x:c r="G6" t="n">
        <x:v>1287</x:v>
      </x:c>
      <x:c r="H6" t="n">
        <x:v>950</x:v>
      </x:c>
      <x:c r="I6" t="n">
        <x:v>1222650</x:v>
      </x:c>
      <x:c r="J6" t="str"/>
    </x:row>
    <x:row r="7">
      <x:c r="A7" t="n">
        <x:v>45444</x:v>
      </x:c>
      <x:c r="B7" t="str">
        <x:v>Bata Sandal</x:v>
      </x:c>
      <x:c r="C7" t="str">
        <x:v>Footwear</x:v>
      </x:c>
      <x:c r="D7" t="str">
        <x:v>Bata</x:v>
      </x:c>
      <x:c r="E7" t="str">
        <x:v>Barishal</x:v>
      </x:c>
      <x:c r="F7" t="str">
        <x:v>Online</x:v>
      </x:c>
      <x:c r="G7" t="n">
        <x:v>1280</x:v>
      </x:c>
      <x:c r="H7" t="n">
        <x:v>950</x:v>
      </x:c>
      <x:c r="I7" t="n">
        <x:v>1216000</x:v>
      </x:c>
      <x:c r="J7" t="str"/>
    </x:row>
    <x:row r="8">
      <x:c r="A8" t="n">
        <x:v>45474</x:v>
      </x:c>
      <x:c r="B8" t="str">
        <x:v>Bata Sandal</x:v>
      </x:c>
      <x:c r="C8" t="str">
        <x:v>Footwear</x:v>
      </x:c>
      <x:c r="D8" t="str">
        <x:v>Bata</x:v>
      </x:c>
      <x:c r="E8" t="str">
        <x:v>Rangpur</x:v>
      </x:c>
      <x:c r="F8" t="str">
        <x:v>Wholesale</x:v>
      </x:c>
      <x:c r="G8" t="n">
        <x:v>1337</x:v>
      </x:c>
      <x:c r="H8" t="n">
        <x:v>950</x:v>
      </x:c>
      <x:c r="I8" t="n">
        <x:v>1270150</x:v>
      </x:c>
      <x:c r="J8" t="str"/>
    </x:row>
    <x:row r="9">
      <x:c r="A9" t="n">
        <x:v>45505</x:v>
      </x:c>
      <x:c r="B9" t="str">
        <x:v>Bata Sandal</x:v>
      </x:c>
      <x:c r="C9" t="str">
        <x:v>Footwear</x:v>
      </x:c>
      <x:c r="D9" t="str">
        <x:v>Bata</x:v>
      </x:c>
      <x:c r="E9" t="str">
        <x:v>Mymensingh</x:v>
      </x:c>
      <x:c r="F9" t="str">
        <x:v>Modern Trade</x:v>
      </x:c>
      <x:c r="G9" t="n">
        <x:v>2035</x:v>
      </x:c>
      <x:c r="H9" t="n">
        <x:v>950</x:v>
      </x:c>
      <x:c r="I9" t="n">
        <x:v>1933250</x:v>
      </x:c>
      <x:c r="J9" t="str">
        <x:v>Promotion-driven sales spike</x:v>
      </x:c>
    </x:row>
    <x:row r="10">
      <x:c r="A10" t="n">
        <x:v>45536</x:v>
      </x:c>
      <x:c r="B10" t="str">
        <x:v>Bata Sandal</x:v>
      </x:c>
      <x:c r="C10" t="str">
        <x:v>Footwear</x:v>
      </x:c>
      <x:c r="D10" t="str">
        <x:v>Bata</x:v>
      </x:c>
      <x:c r="E10" t="str">
        <x:v>Dhaka</x:v>
      </x:c>
      <x:c r="F10" t="str">
        <x:v>Retail</x:v>
      </x:c>
      <x:c r="G10" t="n">
        <x:v>2018</x:v>
      </x:c>
      <x:c r="H10" t="n">
        <x:v>950</x:v>
      </x:c>
      <x:c r="I10" t="n">
        <x:v>1917100</x:v>
      </x:c>
      <x:c r="J10" t="str">
        <x:v>Promotion-driven sales spike</x:v>
      </x:c>
    </x:row>
    <x:row r="11">
      <x:c r="A11" t="n">
        <x:v>45566</x:v>
      </x:c>
      <x:c r="B11" t="str">
        <x:v>Bata Sandal</x:v>
      </x:c>
      <x:c r="C11" t="str">
        <x:v>Footwear</x:v>
      </x:c>
      <x:c r="D11" t="str">
        <x:v>Bata</x:v>
      </x:c>
      <x:c r="E11" t="str">
        <x:v>Chattogram</x:v>
      </x:c>
      <x:c r="F11" t="str">
        <x:v>Online</x:v>
      </x:c>
      <x:c r="G11" t="n">
        <x:v>1579</x:v>
      </x:c>
      <x:c r="H11" t="n">
        <x:v>950</x:v>
      </x:c>
      <x:c r="I11" t="n">
        <x:v>1500050</x:v>
      </x:c>
      <x:c r="J11" t="str"/>
    </x:row>
    <x:row r="12">
      <x:c r="A12" t="n">
        <x:v>45597</x:v>
      </x:c>
      <x:c r="B12" t="str">
        <x:v>Bata Sandal</x:v>
      </x:c>
      <x:c r="C12" t="str">
        <x:v>Footwear</x:v>
      </x:c>
      <x:c r="D12" t="str">
        <x:v>Bata</x:v>
      </x:c>
      <x:c r="E12" t="str">
        <x:v>Sylhet</x:v>
      </x:c>
      <x:c r="F12" t="str">
        <x:v>Wholesale</x:v>
      </x:c>
      <x:c r="G12" t="n">
        <x:v>1529</x:v>
      </x:c>
      <x:c r="H12" t="n">
        <x:v>950</x:v>
      </x:c>
      <x:c r="I12" t="n">
        <x:v>1452550</x:v>
      </x:c>
      <x:c r="J12" t="str"/>
    </x:row>
    <x:row r="13">
      <x:c r="A13" t="n">
        <x:v>45627</x:v>
      </x:c>
      <x:c r="B13" t="str">
        <x:v>Bata Sandal</x:v>
      </x:c>
      <x:c r="C13" t="str">
        <x:v>Footwear</x:v>
      </x:c>
      <x:c r="D13" t="str">
        <x:v>Bata</x:v>
      </x:c>
      <x:c r="E13" t="str">
        <x:v>Rajshahi</x:v>
      </x:c>
      <x:c r="F13" t="str">
        <x:v>Modern Trade</x:v>
      </x:c>
      <x:c r="G13" t="n">
        <x:v>1632</x:v>
      </x:c>
      <x:c r="H13" t="n">
        <x:v>950</x:v>
      </x:c>
      <x:c r="I13" t="n">
        <x:v>1550400</x:v>
      </x:c>
      <x:c r="J13" t="str"/>
    </x:row>
    <x:row r="14">
      <x:c r="A14" t="n">
        <x:v>45658</x:v>
      </x:c>
      <x:c r="B14" t="str">
        <x:v>Bata Sandal</x:v>
      </x:c>
      <x:c r="C14" t="str">
        <x:v>Footwear</x:v>
      </x:c>
      <x:c r="D14" t="str">
        <x:v>Bata</x:v>
      </x:c>
      <x:c r="E14" t="str">
        <x:v>Khulna</x:v>
      </x:c>
      <x:c r="F14" t="str">
        <x:v>Retail</x:v>
      </x:c>
      <x:c r="G14" t="n">
        <x:v>1689</x:v>
      </x:c>
      <x:c r="H14" t="n">
        <x:v>950</x:v>
      </x:c>
      <x:c r="I14" t="n">
        <x:v>1604550</x:v>
      </x:c>
      <x:c r="J14" t="str"/>
    </x:row>
    <x:row r="15">
      <x:c r="A15" t="n">
        <x:v>45689</x:v>
      </x:c>
      <x:c r="B15" t="str">
        <x:v>Bata Sandal</x:v>
      </x:c>
      <x:c r="C15" t="str">
        <x:v>Footwear</x:v>
      </x:c>
      <x:c r="D15" t="str">
        <x:v>Bata</x:v>
      </x:c>
      <x:c r="E15" t="str">
        <x:v>Barishal</x:v>
      </x:c>
      <x:c r="F15" t="str">
        <x:v>Online</x:v>
      </x:c>
      <x:c r="G15" t="n">
        <x:v>1531</x:v>
      </x:c>
      <x:c r="H15" t="n">
        <x:v>950</x:v>
      </x:c>
      <x:c r="I15" t="n">
        <x:v>1454450</x:v>
      </x:c>
      <x:c r="J15" t="str"/>
    </x:row>
    <x:row r="16">
      <x:c r="A16" t="n">
        <x:v>45717</x:v>
      </x:c>
      <x:c r="B16" t="str">
        <x:v>Bata Sandal</x:v>
      </x:c>
      <x:c r="C16" t="str">
        <x:v>Footwear</x:v>
      </x:c>
      <x:c r="D16" t="str">
        <x:v>Bata</x:v>
      </x:c>
      <x:c r="E16" t="str">
        <x:v>Rangpur</x:v>
      </x:c>
      <x:c r="F16" t="str">
        <x:v>Wholesale</x:v>
      </x:c>
      <x:c r="G16" t="n">
        <x:v>1561</x:v>
      </x:c>
      <x:c r="H16" t="n">
        <x:v>950</x:v>
      </x:c>
      <x:c r="I16" t="n">
        <x:v>1482950</x:v>
      </x:c>
      <x:c r="J16" t="str"/>
    </x:row>
    <x:row r="17">
      <x:c r="A17" t="n">
        <x:v>45748</x:v>
      </x:c>
      <x:c r="B17" t="str">
        <x:v>Bata Sandal</x:v>
      </x:c>
      <x:c r="C17" t="str">
        <x:v>Footwear</x:v>
      </x:c>
      <x:c r="D17" t="str">
        <x:v>Bata</x:v>
      </x:c>
      <x:c r="E17" t="str">
        <x:v>Mymensingh</x:v>
      </x:c>
      <x:c r="F17" t="str">
        <x:v>Modern Trade</x:v>
      </x:c>
      <x:c r="G17" t="n">
        <x:v>1518</x:v>
      </x:c>
      <x:c r="H17" t="n">
        <x:v>950</x:v>
      </x:c>
      <x:c r="I17" t="n">
        <x:v>1442100</x:v>
      </x:c>
      <x:c r="J17" t="str"/>
    </x:row>
    <x:row r="18">
      <x:c r="A18" t="n">
        <x:v>45778</x:v>
      </x:c>
      <x:c r="B18" t="str">
        <x:v>Bata Sandal</x:v>
      </x:c>
      <x:c r="C18" t="str">
        <x:v>Footwear</x:v>
      </x:c>
      <x:c r="D18" t="str">
        <x:v>Bata</x:v>
      </x:c>
      <x:c r="E18" t="str">
        <x:v>Dhaka</x:v>
      </x:c>
      <x:c r="F18" t="str">
        <x:v>Retail</x:v>
      </x:c>
      <x:c r="G18" t="n">
        <x:v>1574</x:v>
      </x:c>
      <x:c r="H18" t="n">
        <x:v>950</x:v>
      </x:c>
      <x:c r="I18" t="n">
        <x:v>1495300</x:v>
      </x:c>
      <x:c r="J18" t="str"/>
    </x:row>
    <x:row r="19">
      <x:c r="A19" t="n">
        <x:v>45809</x:v>
      </x:c>
      <x:c r="B19" t="str">
        <x:v>Bata Sandal</x:v>
      </x:c>
      <x:c r="C19" t="str">
        <x:v>Footwear</x:v>
      </x:c>
      <x:c r="D19" t="str">
        <x:v>Bata</x:v>
      </x:c>
      <x:c r="E19" t="str">
        <x:v>Chattogram</x:v>
      </x:c>
      <x:c r="F19" t="str">
        <x:v>Online</x:v>
      </x:c>
      <x:c r="G19" t="n">
        <x:v>1542</x:v>
      </x:c>
      <x:c r="H19" t="n">
        <x:v>950</x:v>
      </x:c>
      <x:c r="I19" t="n">
        <x:v>1464900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BAT-DPF-05-01</x:v>
      </x:c>
      <x:c r="B2" t="str">
        <x:v>Bata Sandal</x:v>
      </x:c>
      <x:c r="C2" t="str">
        <x:v>Footwear</x:v>
      </x:c>
      <x:c r="D2" t="str">
        <x:v>Bata</x:v>
      </x:c>
      <x:c r="E2" t="str">
        <x:v>Dhaka</x:v>
      </x:c>
      <x:c r="F2" t="str">
        <x:v>Dhaka DC</x:v>
      </x:c>
      <x:c r="G2" t="n">
        <x:v>2427</x:v>
      </x:c>
      <x:c r="H2" t="n">
        <x:v>560</x:v>
      </x:c>
      <x:c r="I2" t="n">
        <x:v>1311</x:v>
      </x:c>
      <x:c r="J2" t="n">
        <x:v>564</x:v>
      </x:c>
      <x:c r="K2" t="n">
        <x:v>120</x:v>
      </x:c>
      <x:c r="L2" t="n">
        <x:v>45672</x:v>
      </x:c>
      <x:c r="M2" t="str">
        <x:v>OK</x:v>
      </x:c>
    </x:row>
    <x:row r="3">
      <x:c r="A3" t="str">
        <x:v>BAT-DPF-05-02</x:v>
      </x:c>
      <x:c r="B3" t="str">
        <x:v>Bata Sandal</x:v>
      </x:c>
      <x:c r="C3" t="str">
        <x:v>Footwear</x:v>
      </x:c>
      <x:c r="D3" t="str">
        <x:v>Bata</x:v>
      </x:c>
      <x:c r="E3" t="str">
        <x:v>Chattogram</x:v>
      </x:c>
      <x:c r="F3" t="str">
        <x:v>Chattogram DC</x:v>
      </x:c>
      <x:c r="G3" t="n">
        <x:v>2987</x:v>
      </x:c>
      <x:c r="H3" t="n">
        <x:v>606</x:v>
      </x:c>
      <x:c r="I3" t="n">
        <x:v>1174</x:v>
      </x:c>
      <x:c r="J3" t="n">
        <x:v>201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BAT-DPF-05-03</x:v>
      </x:c>
      <x:c r="B4" t="str">
        <x:v>Bata Sandal</x:v>
      </x:c>
      <x:c r="C4" t="str">
        <x:v>Footwear</x:v>
      </x:c>
      <x:c r="D4" t="str">
        <x:v>Bata</x:v>
      </x:c>
      <x:c r="E4" t="str">
        <x:v>Sylhet</x:v>
      </x:c>
      <x:c r="F4" t="str">
        <x:v>Sylhet DC</x:v>
      </x:c>
      <x:c r="G4" t="n">
        <x:v>2814</x:v>
      </x:c>
      <x:c r="H4" t="n">
        <x:v>677</x:v>
      </x:c>
      <x:c r="I4" t="n">
        <x:v>1425</x:v>
      </x:c>
      <x:c r="J4" t="n">
        <x:v>86</x:v>
      </x:c>
      <x:c r="K4" t="n">
        <x:v>120</x:v>
      </x:c>
      <x:c r="L4" t="n">
        <x:v>45674</x:v>
      </x:c>
      <x:c r="M4" t="str">
        <x:v>OK</x:v>
      </x:c>
    </x:row>
    <x:row r="5">
      <x:c r="A5" t="str">
        <x:v>BAT-DPF-05-04</x:v>
      </x:c>
      <x:c r="B5" t="str">
        <x:v>Bata Sandal</x:v>
      </x:c>
      <x:c r="C5" t="str">
        <x:v>Footwear</x:v>
      </x:c>
      <x:c r="D5" t="str">
        <x:v>Bata</x:v>
      </x:c>
      <x:c r="E5" t="str">
        <x:v>Rajshahi</x:v>
      </x:c>
      <x:c r="F5" t="str">
        <x:v>Rajshahi DC</x:v>
      </x:c>
      <x:c r="G5" t="n">
        <x:v>3074</x:v>
      </x:c>
      <x:c r="H5" t="n">
        <x:v>666</x:v>
      </x:c>
      <x:c r="I5" t="n">
        <x:v>1410</x:v>
      </x:c>
      <x:c r="J5" t="n">
        <x:v>495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BAT-DPF-05-05</x:v>
      </x:c>
      <x:c r="B6" t="str">
        <x:v>Bata Sandal</x:v>
      </x:c>
      <x:c r="C6" t="str">
        <x:v>Footwear</x:v>
      </x:c>
      <x:c r="D6" t="str">
        <x:v>Bata</x:v>
      </x:c>
      <x:c r="E6" t="str">
        <x:v>Khulna</x:v>
      </x:c>
      <x:c r="F6" t="str">
        <x:v>Khulna DC</x:v>
      </x:c>
      <x:c r="G6" t="n">
        <x:v>1379</x:v>
      </x:c>
      <x:c r="H6" t="n">
        <x:v>583</x:v>
      </x:c>
      <x:c r="I6" t="n">
        <x:v>1285</x:v>
      </x:c>
      <x:c r="J6" t="n">
        <x:v>228</x:v>
      </x:c>
      <x:c r="K6" t="n">
        <x:v>120</x:v>
      </x:c>
      <x:c r="L6" t="n">
        <x:v>45676</x:v>
      </x:c>
      <x:c r="M6" t="str">
        <x:v>OK</x:v>
      </x:c>
    </x:row>
    <x:row r="7">
      <x:c r="A7" t="str">
        <x:v>BAT-DPF-05-06</x:v>
      </x:c>
      <x:c r="B7" t="str">
        <x:v>Bata Sandal</x:v>
      </x:c>
      <x:c r="C7" t="str">
        <x:v>Footwear</x:v>
      </x:c>
      <x:c r="D7" t="str">
        <x:v>Bata</x:v>
      </x:c>
      <x:c r="E7" t="str">
        <x:v>Barishal</x:v>
      </x:c>
      <x:c r="F7" t="str">
        <x:v>Barishal DC</x:v>
      </x:c>
      <x:c r="G7" t="n">
        <x:v>3741</x:v>
      </x:c>
      <x:c r="H7" t="n">
        <x:v>560</x:v>
      </x:c>
      <x:c r="I7" t="n">
        <x:v>1381</x:v>
      </x:c>
      <x:c r="J7" t="n">
        <x:v>608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BAT-DPF-05-07</x:v>
      </x:c>
      <x:c r="B8" t="str">
        <x:v>Bata Sandal</x:v>
      </x:c>
      <x:c r="C8" t="str">
        <x:v>Footwear</x:v>
      </x:c>
      <x:c r="D8" t="str">
        <x:v>Bata</x:v>
      </x:c>
      <x:c r="E8" t="str">
        <x:v>Rangpur</x:v>
      </x:c>
      <x:c r="F8" t="str">
        <x:v>Rangpur DC</x:v>
      </x:c>
      <x:c r="G8" t="n">
        <x:v>2226</x:v>
      </x:c>
      <x:c r="H8" t="n">
        <x:v>552</x:v>
      </x:c>
      <x:c r="I8" t="n">
        <x:v>1215</x:v>
      </x:c>
      <x:c r="J8" t="n">
        <x:v>133</x:v>
      </x:c>
      <x:c r="K8" t="n">
        <x:v>120</x:v>
      </x:c>
      <x:c r="L8" t="n">
        <x:v>45678</x:v>
      </x:c>
      <x:c r="M8" t="str">
        <x:v>OK</x:v>
      </x:c>
    </x:row>
    <x:row r="9">
      <x:c r="A9" t="str">
        <x:v>BAT-DPF-05-08</x:v>
      </x:c>
      <x:c r="B9" t="str">
        <x:v>Bata Sandal</x:v>
      </x:c>
      <x:c r="C9" t="str">
        <x:v>Footwear</x:v>
      </x:c>
      <x:c r="D9" t="str">
        <x:v>Bata</x:v>
      </x:c>
      <x:c r="E9" t="str">
        <x:v>Mymensingh</x:v>
      </x:c>
      <x:c r="F9" t="str">
        <x:v>Mymensingh DC</x:v>
      </x:c>
      <x:c r="G9" t="n">
        <x:v>1337</x:v>
      </x:c>
      <x:c r="H9" t="n">
        <x:v>553</x:v>
      </x:c>
      <x:c r="I9" t="n">
        <x:v>1272</x:v>
      </x:c>
      <x:c r="J9" t="n">
        <x:v>439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16.8</x:v>
      </x:c>
      <x:c r="G2" t="n">
        <x:v>18.6</x:v>
      </x:c>
      <x:c r="H2" t="n">
        <x:v>73303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19.6</x:v>
      </x:c>
      <x:c r="G3" t="n">
        <x:v>15.7</x:v>
      </x:c>
      <x:c r="H3" t="n">
        <x:v>80433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26.6</x:v>
      </x:c>
      <x:c r="G4" t="n">
        <x:v>55.9</x:v>
      </x:c>
      <x:c r="H4" t="n">
        <x:v>144243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10</x:v>
      </x:c>
      <x:c r="G5" t="n">
        <x:v>11.7</x:v>
      </x:c>
      <x:c r="H5" t="n">
        <x:v>111578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Footwear</x:v>
      </x:c>
      <x:c r="E2" t="n">
        <x:v>798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Footwear</x:v>
      </x:c>
      <x:c r="E3" t="n">
        <x:v>956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Footwear</x:v>
      </x:c>
      <x:c r="E4" t="n">
        <x:v>992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Footwear</x:v>
      </x:c>
      <x:c r="E5" t="n">
        <x:v>949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7.47</x:v>
      </x:c>
      <x:c r="C2" t="n">
        <x:v>99.1</x:v>
      </x:c>
      <x:c r="D2" t="n">
        <x:v>87.04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7.75</x:v>
      </x:c>
      <x:c r="C3" t="n">
        <x:v>99.56</x:v>
      </x:c>
      <x:c r="D3" t="n">
        <x:v>86.69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8.11</x:v>
      </x:c>
      <x:c r="C4" t="n">
        <x:v>101.36</x:v>
      </x:c>
      <x:c r="D4" t="n">
        <x:v>86.61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8.5</x:v>
      </x:c>
      <x:c r="C5" t="n">
        <x:v>99.96</x:v>
      </x:c>
      <x:c r="D5" t="n">
        <x:v>85.54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8.74</x:v>
      </x:c>
      <x:c r="C6" t="n">
        <x:v>101.8</x:v>
      </x:c>
      <x:c r="D6" t="n">
        <x:v>85.67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8.82</x:v>
      </x:c>
      <x:c r="C7" t="n">
        <x:v>101.12</x:v>
      </x:c>
      <x:c r="D7" t="n">
        <x:v>85.34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8.3</x:v>
      </x:c>
      <x:c r="C8" t="n">
        <x:v>101.62</x:v>
      </x:c>
      <x:c r="D8" t="n">
        <x:v>86.38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8.2</x:v>
      </x:c>
      <x:c r="C9" t="n">
        <x:v>102.78</x:v>
      </x:c>
      <x:c r="D9" t="n">
        <x:v>86.89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7.82</x:v>
      </x:c>
      <x:c r="C10" t="n">
        <x:v>103.29</x:v>
      </x:c>
      <x:c r="D10" t="n">
        <x:v>87.7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7.76</x:v>
      </x:c>
      <x:c r="C11" t="n">
        <x:v>102.01</x:v>
      </x:c>
      <x:c r="D11" t="n">
        <x:v>87.41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7.53</x:v>
      </x:c>
      <x:c r="C12" t="n">
        <x:v>102.58</x:v>
      </x:c>
      <x:c r="D12" t="n">
        <x:v>87.97</x:v>
      </x:c>
      <x:c r="E12" t="n">
        <x:v>113</x:v>
      </x:c>
      <x:c r="F12" t="str">
        <x:v>Medium</x:v>
      </x:c>
      <x:c r="G12" t="str">
        <x:v>Economic conditions for demand adjustment</x:v>
      </x:c>
    </x:row>
    <x:row r="13">
      <x:c r="A13" t="n">
        <x:v>45627</x:v>
      </x:c>
      <x:c r="B13" t="n">
        <x:v>7.02</x:v>
      </x:c>
      <x:c r="C13" t="n">
        <x:v>103.13</x:v>
      </x:c>
      <x:c r="D13" t="n">
        <x:v>89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6.58</x:v>
      </x:c>
      <x:c r="C14" t="n">
        <x:v>103.54</x:v>
      </x:c>
      <x:c r="D14" t="n">
        <x:v>89.88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6.36</x:v>
      </x:c>
      <x:c r="C15" t="n">
        <x:v>103.19</x:v>
      </x:c>
      <x:c r="D15" t="n">
        <x:v>90.15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6.12</x:v>
      </x:c>
      <x:c r="C16" t="n">
        <x:v>104.4</x:v>
      </x:c>
      <x:c r="D16" t="n">
        <x:v>90.92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6.5</x:v>
      </x:c>
      <x:c r="C17" t="n">
        <x:v>103.77</x:v>
      </x:c>
      <x:c r="D17" t="n">
        <x:v>90.09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6.27</x:v>
      </x:c>
      <x:c r="C18" t="n">
        <x:v>105.35</x:v>
      </x:c>
      <x:c r="D18" t="n">
        <x:v>90.95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7.02</x:v>
      </x:c>
      <x:c r="C19" t="n">
        <x:v>104.78</x:v>
      </x:c>
      <x:c r="D19" t="n">
        <x:v>89.5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9</x:v>
      </x:c>
      <x:c r="F2" t="n">
        <x:v>2</x:v>
      </x:c>
      <x:c r="G2" t="n">
        <x:v>3</x:v>
      </x:c>
      <x:c r="H2" t="n">
        <x:v>20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12</x:v>
      </x:c>
      <x:c r="F3" t="n">
        <x:v>4</x:v>
      </x:c>
      <x:c r="G3" t="n">
        <x:v>4</x:v>
      </x:c>
      <x:c r="H3" t="n">
        <x:v>24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12</x:v>
      </x:c>
      <x:c r="F4" t="n">
        <x:v>7</x:v>
      </x:c>
      <x:c r="G4" t="n">
        <x:v>3</x:v>
      </x:c>
      <x:c r="H4" t="n">
        <x:v>28</x:v>
      </x:c>
      <x:c r="I4" t="str">
        <x:v>Yes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6</x:v>
      </x:c>
      <x:c r="E5" t="n">
        <x:v>11</x:v>
      </x:c>
      <x:c r="F5" t="n">
        <x:v>9</x:v>
      </x:c>
      <x:c r="G5" t="n">
        <x:v>3</x:v>
      </x:c>
      <x:c r="H5" t="n">
        <x:v>29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1396</x:v>
      </x:c>
      <x:c r="C2" t="n">
        <x:v>1692</x:v>
      </x:c>
      <x:c r="D2" t="n">
        <x:f>C2-B2</x:f>
        <x:v>296</x:v>
      </x:c>
      <x:c r="E2" t="n">
        <x:f>ABS(D2)</x:f>
        <x:v>296</x:v>
      </x:c>
      <x:c r="F2" s="22" t="n">
        <x:f>IFERROR(E2/C2,0)</x:f>
        <x:v>0.17494089834515367</x:v>
      </x:c>
      <x:c r="G2" t="str">
        <x:v>Formula columns should calculate error and accuracy</x:v>
      </x:c>
    </x:row>
    <x:row r="3">
      <x:c r="A3" t="n">
        <x:v>45505</x:v>
      </x:c>
      <x:c r="B3" t="n">
        <x:v>1257</x:v>
      </x:c>
      <x:c r="C3" t="n">
        <x:v>1223</x:v>
      </x:c>
      <x:c r="D3" t="n">
        <x:f>C3-B3</x:f>
        <x:v>-34</x:v>
      </x:c>
      <x:c r="E3" t="n">
        <x:f>ABS(D3)</x:f>
        <x:v>34</x:v>
      </x:c>
      <x:c r="F3" s="22" t="n">
        <x:f>IFERROR(E3/C3,0)</x:f>
        <x:v>0.027800490596892886</x:v>
      </x:c>
      <x:c r="G3" t="str">
        <x:v>Formula columns should calculate error and accuracy</x:v>
      </x:c>
    </x:row>
    <x:row r="4">
      <x:c r="A4" t="n">
        <x:v>45536</x:v>
      </x:c>
      <x:c r="B4" t="n">
        <x:v>1448</x:v>
      </x:c>
      <x:c r="C4" t="n">
        <x:v>1425</x:v>
      </x:c>
      <x:c r="D4" t="n">
        <x:f>C4-B4</x:f>
        <x:v>-23</x:v>
      </x:c>
      <x:c r="E4" t="n">
        <x:f>ABS(D4)</x:f>
        <x:v>23</x:v>
      </x:c>
      <x:c r="F4" s="22" t="n">
        <x:f>IFERROR(E4/C4,0)</x:f>
        <x:v>0.016140350877192983</x:v>
      </x:c>
      <x:c r="G4" t="str">
        <x:v>Formula columns should calculate error and accuracy</x:v>
      </x:c>
    </x:row>
    <x:row r="5">
      <x:c r="A5" t="n">
        <x:v>45566</x:v>
      </x:c>
      <x:c r="B5" t="n">
        <x:v>1328</x:v>
      </x:c>
      <x:c r="C5" t="n">
        <x:v>1340</x:v>
      </x:c>
      <x:c r="D5" t="n">
        <x:f>C5-B5</x:f>
        <x:v>12</x:v>
      </x:c>
      <x:c r="E5" t="n">
        <x:f>ABS(D5)</x:f>
        <x:v>12</x:v>
      </x:c>
      <x:c r="F5" s="22" t="n">
        <x:f>IFERROR(E5/C5,0)</x:f>
        <x:v>0.008955223880597015</x:v>
      </x:c>
      <x:c r="G5" t="str">
        <x:v>Formula columns should calculate error and accuracy</x:v>
      </x:c>
    </x:row>
    <x:row r="6">
      <x:c r="A6" t="n">
        <x:v>45597</x:v>
      </x:c>
      <x:c r="B6" t="n">
        <x:v>1520</x:v>
      </x:c>
      <x:c r="C6" t="n">
        <x:v>1478</x:v>
      </x:c>
      <x:c r="D6" t="n">
        <x:f>C6-B6</x:f>
        <x:v>-42</x:v>
      </x:c>
      <x:c r="E6" t="n">
        <x:f>ABS(D6)</x:f>
        <x:v>42</x:v>
      </x:c>
      <x:c r="F6" s="22" t="n">
        <x:f>IFERROR(E6/C6,0)</x:f>
        <x:v>0.028416779431664412</x:v>
      </x:c>
      <x:c r="G6" t="str">
        <x:v>Formula columns should calculate error and accuracy</x:v>
      </x:c>
    </x:row>
    <x:row r="7">
      <x:c r="A7" t="n">
        <x:v>45627</x:v>
      </x:c>
      <x:c r="B7" t="n">
        <x:v>1570</x:v>
      </x:c>
      <x:c r="C7" t="n">
        <x:v>1785</x:v>
      </x:c>
      <x:c r="D7" t="n">
        <x:f>C7-B7</x:f>
        <x:v>215</x:v>
      </x:c>
      <x:c r="E7" t="n">
        <x:f>ABS(D7)</x:f>
        <x:v>215</x:v>
      </x:c>
      <x:c r="F7" s="22" t="n">
        <x:f>IFERROR(E7/C7,0)</x:f>
        <x:v>0.12044817927170869</x:v>
      </x:c>
      <x:c r="G7" t="str">
        <x:v>Formula columns should calculate error and accuracy</x:v>
      </x:c>
    </x:row>
    <x:row r="8">
      <x:c r="A8" t="n">
        <x:v>45658</x:v>
      </x:c>
      <x:c r="B8" t="n">
        <x:v>1500</x:v>
      </x:c>
      <x:c r="C8" t="n">
        <x:v>1321</x:v>
      </x:c>
      <x:c r="D8" t="n">
        <x:f>C8-B8</x:f>
        <x:v>-179</x:v>
      </x:c>
      <x:c r="E8" t="n">
        <x:f>ABS(D8)</x:f>
        <x:v>179</x:v>
      </x:c>
      <x:c r="F8" s="22" t="n">
        <x:f>IFERROR(E8/C8,0)</x:f>
        <x:v>0.13550340651021953</x:v>
      </x:c>
      <x:c r="G8" t="str">
        <x:v>Formula columns should calculate error and accuracy</x:v>
      </x:c>
    </x:row>
    <x:row r="9">
      <x:c r="A9" t="n">
        <x:v>45689</x:v>
      </x:c>
      <x:c r="B9" t="n">
        <x:v>1620</x:v>
      </x:c>
      <x:c r="C9" t="n">
        <x:v>1410</x:v>
      </x:c>
      <x:c r="D9" t="n">
        <x:f>C9-B9</x:f>
        <x:v>-210</x:v>
      </x:c>
      <x:c r="E9" t="n">
        <x:f>ABS(D9)</x:f>
        <x:v>210</x:v>
      </x:c>
      <x:c r="F9" s="22" t="n">
        <x:f>IFERROR(E9/C9,0)</x:f>
        <x:v>0.14893617021276595</x:v>
      </x:c>
      <x:c r="G9" t="str">
        <x:v>Formula columns should calculate error and accuracy</x:v>
      </x:c>
    </x:row>
    <x:row r="10">
      <x:c r="A10" t="n">
        <x:v>45717</x:v>
      </x:c>
      <x:c r="B10" t="n">
        <x:v>1648</x:v>
      </x:c>
      <x:c r="C10" t="n">
        <x:v>1570</x:v>
      </x:c>
      <x:c r="D10" t="n">
        <x:f>C10-B10</x:f>
        <x:v>-78</x:v>
      </x:c>
      <x:c r="E10" t="n">
        <x:f>ABS(D10)</x:f>
        <x:v>78</x:v>
      </x:c>
      <x:c r="F10" s="22" t="n">
        <x:f>IFERROR(E10/C10,0)</x:f>
        <x:v>0.049681528662420385</x:v>
      </x:c>
      <x:c r="G10" t="str">
        <x:v>Formula columns should calculate error and accuracy</x:v>
      </x:c>
    </x:row>
    <x:row r="11">
      <x:c r="A11" t="n">
        <x:v>45748</x:v>
      </x:c>
      <x:c r="B11" t="n">
        <x:v>1411</x:v>
      </x:c>
      <x:c r="C11" t="n">
        <x:v>1634</x:v>
      </x:c>
      <x:c r="D11" t="n">
        <x:f>C11-B11</x:f>
        <x:v>223</x:v>
      </x:c>
      <x:c r="E11" t="n">
        <x:f>ABS(D11)</x:f>
        <x:v>223</x:v>
      </x:c>
      <x:c r="F11" s="22" t="n">
        <x:f>IFERROR(E11/C11,0)</x:f>
        <x:v>0.1364749082007344</x:v>
      </x:c>
      <x:c r="G11" t="str">
        <x:v>Formula columns should calculate error and accuracy</x:v>
      </x:c>
    </x:row>
    <x:row r="12">
      <x:c r="A12" t="n">
        <x:v>45778</x:v>
      </x:c>
      <x:c r="B12" t="n">
        <x:v>1435</x:v>
      </x:c>
      <x:c r="C12" t="n">
        <x:v>1699</x:v>
      </x:c>
      <x:c r="D12" t="n">
        <x:f>C12-B12</x:f>
        <x:v>264</x:v>
      </x:c>
      <x:c r="E12" t="n">
        <x:f>ABS(D12)</x:f>
        <x:v>264</x:v>
      </x:c>
      <x:c r="F12" s="22" t="n">
        <x:f>IFERROR(E12/C12,0)</x:f>
        <x:v>0.1553855208946439</x:v>
      </x:c>
      <x:c r="G12" t="str">
        <x:v>Formula columns should calculate error and accuracy</x:v>
      </x:c>
    </x:row>
    <x:row r="13">
      <x:c r="A13" t="n">
        <x:v>45809</x:v>
      </x:c>
      <x:c r="B13" t="n">
        <x:v>1432</x:v>
      </x:c>
      <x:c r="C13" t="n">
        <x:v>1257</x:v>
      </x:c>
      <x:c r="D13" t="n">
        <x:f>C13-B13</x:f>
        <x:v>-175</x:v>
      </x:c>
      <x:c r="E13" t="n">
        <x:f>ABS(D13)</x:f>
        <x:v>175</x:v>
      </x:c>
      <x:c r="F13" s="22" t="n">
        <x:f>IFERROR(E13/C13,0)</x:f>
        <x:v>0.13922036595067622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94</x:v>
      </x:c>
      <x:c r="E2" t="n">
        <x:v>1509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49</x:v>
      </x:c>
      <x:c r="E3" t="n">
        <x:v>627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61</x:v>
      </x:c>
      <x:c r="E4" t="n">
        <x:v>729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89</x:v>
      </x:c>
      <x:c r="E5" t="n">
        <x:v>1098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50</x:v>
      </x:c>
      <x:c r="E6" t="n">
        <x:v>764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88</x:v>
      </x:c>
      <x:c r="E7" t="n">
        <x:v>1350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69</x:v>
      </x:c>
      <x:c r="E8" t="n">
        <x:v>1101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85</x:v>
      </x:c>
      <x:c r="E9" t="n">
        <x:v>1226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9</x:v>
      </x:c>
      <x:c r="F2" t="n">
        <x:v>7024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4</x:v>
      </x:c>
      <x:c r="F3" t="n">
        <x:v>4479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4</x:v>
      </x:c>
      <x:c r="F4" t="n">
        <x:v>4743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2</x:v>
      </x:c>
      <x:c r="F5" t="n">
        <x:v>2387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Weekly</x:v>
      </x:c>
      <x:c r="E6" t="n">
        <x:v>8</x:v>
      </x:c>
      <x:c r="F6" t="n">
        <x:v>6839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126</x:v>
      </x:c>
      <x:c r="F2" t="n">
        <x:v>75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31</x:v>
      </x:c>
      <x:c r="F3" t="n">
        <x:v>80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17</x:v>
      </x:c>
      <x:c r="F4" t="n">
        <x:v>79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16</x:v>
      </x:c>
      <x:c r="F5" t="n">
        <x:v>71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Bata Sandal Bata Footwear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Bata Sandal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Footwear competitor pricing promotions Bangladesh Bata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Bata Sandal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73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64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67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76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