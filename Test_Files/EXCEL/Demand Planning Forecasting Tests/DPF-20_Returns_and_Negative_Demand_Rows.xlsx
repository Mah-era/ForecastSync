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30c7874c8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c872648cd0904758"/>
    <x:sheet xmlns:r="http://schemas.openxmlformats.org/officeDocument/2006/relationships" name="Historical_Sales" sheetId="2" r:id="R512e1ae2d1554258"/>
    <x:sheet xmlns:r="http://schemas.openxmlformats.org/officeDocument/2006/relationships" name="Inventory" sheetId="3" r:id="R8a93156148ae4ec7"/>
    <x:sheet xmlns:r="http://schemas.openxmlformats.org/officeDocument/2006/relationships" name="Promotions" sheetId="4" r:id="R51c26a24bd214335"/>
    <x:sheet xmlns:r="http://schemas.openxmlformats.org/officeDocument/2006/relationships" name="Competitors" sheetId="5" r:id="R913487ff45e04c3a"/>
    <x:sheet xmlns:r="http://schemas.openxmlformats.org/officeDocument/2006/relationships" name="Economic" sheetId="6" r:id="R3e159e47b28d4f62"/>
    <x:sheet xmlns:r="http://schemas.openxmlformats.org/officeDocument/2006/relationships" name="Lead_Time" sheetId="7" r:id="R39f16302b4084039"/>
    <x:sheet xmlns:r="http://schemas.openxmlformats.org/officeDocument/2006/relationships" name="Forecast_Actual" sheetId="8" r:id="Rcc2ebca8eaa14d77"/>
    <x:sheet xmlns:r="http://schemas.openxmlformats.org/officeDocument/2006/relationships" name="Regional_Demand_Map" sheetId="9" r:id="R162e717e02784cbc"/>
    <x:sheet xmlns:r="http://schemas.openxmlformats.org/officeDocument/2006/relationships" name="SCM_Flow_Map" sheetId="10" r:id="R69cd49176712478f"/>
    <x:sheet xmlns:r="http://schemas.openxmlformats.org/officeDocument/2006/relationships" name="Customer_Patterns" sheetId="11" r:id="Rf0ead09144394a40"/>
    <x:sheet xmlns:r="http://schemas.openxmlformats.org/officeDocument/2006/relationships" name="Technology_Data" sheetId="12" r:id="R5151d640f04f4e47"/>
    <x:sheet xmlns:r="http://schemas.openxmlformats.org/officeDocument/2006/relationships" name="Web_Search_Seeds" sheetId="13" r:id="Ra5172247853e41b3"/>
    <x:sheet xmlns:r="http://schemas.openxmlformats.org/officeDocument/2006/relationships" name="Manual_Expert_Opinion" sheetId="14" r:id="R6eb979197680498e"/>
    <x:sheet xmlns:r="http://schemas.openxmlformats.org/officeDocument/2006/relationships" name="Data_Issues" sheetId="15" r:id="Rbae38796536b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9256aa0554b9e" /><Relationship Type="http://schemas.openxmlformats.org/officeDocument/2006/relationships/theme" Target="/xl/theme/theme1.xml" Id="Ra430551634a24284" /><Relationship Type="http://schemas.openxmlformats.org/officeDocument/2006/relationships/sharedStrings" Target="/xl/sharedStrings.xml" Id="Rfbd6f9ff0c714590" /><Relationship Type="http://schemas.openxmlformats.org/officeDocument/2006/relationships/worksheet" Target="/xl/worksheets/sheet1.xml" Id="Rc872648cd0904758" /><Relationship Type="http://schemas.openxmlformats.org/officeDocument/2006/relationships/worksheet" Target="/xl/worksheets/sheet2.xml" Id="R512e1ae2d1554258" /><Relationship Type="http://schemas.openxmlformats.org/officeDocument/2006/relationships/worksheet" Target="/xl/worksheets/sheet3.xml" Id="R8a93156148ae4ec7" /><Relationship Type="http://schemas.openxmlformats.org/officeDocument/2006/relationships/worksheet" Target="/xl/worksheets/sheet4.xml" Id="R51c26a24bd214335" /><Relationship Type="http://schemas.openxmlformats.org/officeDocument/2006/relationships/worksheet" Target="/xl/worksheets/sheet5.xml" Id="R913487ff45e04c3a" /><Relationship Type="http://schemas.openxmlformats.org/officeDocument/2006/relationships/worksheet" Target="/xl/worksheets/sheet6.xml" Id="R3e159e47b28d4f62" /><Relationship Type="http://schemas.openxmlformats.org/officeDocument/2006/relationships/worksheet" Target="/xl/worksheets/sheet7.xml" Id="R39f16302b4084039" /><Relationship Type="http://schemas.openxmlformats.org/officeDocument/2006/relationships/worksheet" Target="/xl/worksheets/sheet8.xml" Id="Rcc2ebca8eaa14d77" /><Relationship Type="http://schemas.openxmlformats.org/officeDocument/2006/relationships/worksheet" Target="/xl/worksheets/sheet9.xml" Id="R162e717e02784cbc" /><Relationship Type="http://schemas.openxmlformats.org/officeDocument/2006/relationships/worksheet" Target="/xl/worksheets/sheet10.xml" Id="R69cd49176712478f" /><Relationship Type="http://schemas.openxmlformats.org/officeDocument/2006/relationships/worksheet" Target="/xl/worksheets/sheet11.xml" Id="Rf0ead09144394a40" /><Relationship Type="http://schemas.openxmlformats.org/officeDocument/2006/relationships/worksheet" Target="/xl/worksheets/sheet12.xml" Id="R5151d640f04f4e47" /><Relationship Type="http://schemas.openxmlformats.org/officeDocument/2006/relationships/worksheet" Target="/xl/worksheets/sheet13.xml" Id="Ra5172247853e41b3" /><Relationship Type="http://schemas.openxmlformats.org/officeDocument/2006/relationships/worksheet" Target="/xl/worksheets/sheet14.xml" Id="R6eb979197680498e" /><Relationship Type="http://schemas.openxmlformats.org/officeDocument/2006/relationships/worksheet" Target="/xl/worksheets/sheet15.xml" Id="Rbae38796536b49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DPF-20</x:v>
      </x:c>
    </x:row>
    <x:row r="3">
      <x:c r="A3" t="str">
        <x:v>Scenario Title</x:v>
      </x:c>
      <x:c r="B3" t="str">
        <x:v>Returns and Negative Demand Rows</x:v>
      </x:c>
    </x:row>
    <x:row r="4">
      <x:c r="A4" t="str">
        <x:v>Purpose</x:v>
      </x:c>
      <x:c r="B4" t="str">
        <x:v>Test negative rows handling.</x:v>
      </x:c>
    </x:row>
    <x:row r="5">
      <x:c r="A5" t="str">
        <x:v>Product Name</x:v>
      </x:c>
      <x:c r="B5" t="str">
        <x:v>T-Shirt</x:v>
      </x:c>
    </x:row>
    <x:row r="6">
      <x:c r="A6" t="str">
        <x:v>Category</x:v>
      </x:c>
      <x:c r="B6" t="str">
        <x:v>Clothing</x:v>
      </x:c>
    </x:row>
    <x:row r="7">
      <x:c r="A7" t="str">
        <x:v>Brand</x:v>
      </x:c>
      <x:c r="B7" t="str">
        <x:v>Trunk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Messy/Edge Case</x:v>
      </x:c>
    </x:row>
    <x:row r="10">
      <x:c r="A10" t="str">
        <x:v>Modules Covered</x:v>
      </x:c>
      <x:c r="B10" t="str">
        <x:v>Historical Sales, Forecast Accuracy</x:v>
      </x:c>
    </x:row>
    <x:row r="11">
      <x:c r="A11" t="str">
        <x:v>Recommended Inputs To Tick</x:v>
      </x:c>
      <x:c r="B11" t="str">
        <x:v>Historical Sales Data</x:v>
      </x:c>
    </x:row>
    <x:row r="12">
      <x:c r="A12" t="str">
        <x:v>Recommended Outputs To Tick</x:v>
      </x:c>
      <x:c r="B12" t="str">
        <x:v>Sales Trend Analysis, Forecast Accuracy Report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T-Shirt</x:v>
      </x:c>
      <x:c r="C2" t="str">
        <x:v>Clothing</x:v>
      </x:c>
      <x:c r="D2" t="str">
        <x:v>Trunk</x:v>
      </x:c>
      <x:c r="E2" t="str">
        <x:v>Dhaka</x:v>
      </x:c>
      <x:c r="F2" t="str">
        <x:v>Retail</x:v>
      </x:c>
      <x:c r="G2" t="n">
        <x:v>1188</x:v>
      </x:c>
      <x:c r="H2" t="n">
        <x:v>780</x:v>
      </x:c>
      <x:c r="I2" t="n">
        <x:v>926640</x:v>
      </x:c>
      <x:c r="J2" t="str"/>
    </x:row>
    <x:row r="3">
      <x:c r="A3" t="n">
        <x:v>45323</x:v>
      </x:c>
      <x:c r="B3" t="str">
        <x:v>T-Shirt</x:v>
      </x:c>
      <x:c r="C3" t="str">
        <x:v>Clothing</x:v>
      </x:c>
      <x:c r="D3" t="str">
        <x:v>Trunk</x:v>
      </x:c>
      <x:c r="E3" t="str">
        <x:v>Chattogram</x:v>
      </x:c>
      <x:c r="F3" t="str">
        <x:v>Online</x:v>
      </x:c>
      <x:c r="G3" t="n">
        <x:v>1034</x:v>
      </x:c>
      <x:c r="H3" t="n">
        <x:v>780</x:v>
      </x:c>
      <x:c r="I3" t="n">
        <x:v>806520</x:v>
      </x:c>
      <x:c r="J3" t="str"/>
    </x:row>
    <x:row r="4">
      <x:c r="A4" t="n">
        <x:v>45352</x:v>
      </x:c>
      <x:c r="B4" t="str">
        <x:v>T-Shirt</x:v>
      </x:c>
      <x:c r="C4" t="str">
        <x:v>Clothing</x:v>
      </x:c>
      <x:c r="D4" t="str">
        <x:v>Trunk</x:v>
      </x:c>
      <x:c r="E4" t="str">
        <x:v>Sylhet</x:v>
      </x:c>
      <x:c r="F4" t="str">
        <x:v>Wholesale</x:v>
      </x:c>
      <x:c r="G4" t="n">
        <x:v>1181</x:v>
      </x:c>
      <x:c r="H4" t="n">
        <x:v>780</x:v>
      </x:c>
      <x:c r="I4" t="n">
        <x:v>921180</x:v>
      </x:c>
      <x:c r="J4" t="str"/>
    </x:row>
    <x:row r="5">
      <x:c r="A5" t="n">
        <x:v>45383</x:v>
      </x:c>
      <x:c r="B5" t="str">
        <x:v>T-Shirt</x:v>
      </x:c>
      <x:c r="C5" t="str">
        <x:v>Clothing</x:v>
      </x:c>
      <x:c r="D5" t="str">
        <x:v>Trunk</x:v>
      </x:c>
      <x:c r="E5" t="str">
        <x:v>Rajshahi</x:v>
      </x:c>
      <x:c r="F5" t="str">
        <x:v>Modern Trade</x:v>
      </x:c>
      <x:c r="G5" t="n">
        <x:v>1184</x:v>
      </x:c>
      <x:c r="H5" t="n">
        <x:v>780</x:v>
      </x:c>
      <x:c r="I5" t="n">
        <x:v>923520</x:v>
      </x:c>
      <x:c r="J5" t="str"/>
    </x:row>
    <x:row r="6">
      <x:c r="A6" t="n">
        <x:v>45413</x:v>
      </x:c>
      <x:c r="B6" t="str">
        <x:v>T-Shirt</x:v>
      </x:c>
      <x:c r="C6" t="str">
        <x:v>Clothing</x:v>
      </x:c>
      <x:c r="D6" t="str">
        <x:v>Trunk</x:v>
      </x:c>
      <x:c r="E6" t="str">
        <x:v>Khulna</x:v>
      </x:c>
      <x:c r="F6" t="str">
        <x:v>Retail</x:v>
      </x:c>
      <x:c r="G6" t="n">
        <x:v>1096</x:v>
      </x:c>
      <x:c r="H6" t="n">
        <x:v>780</x:v>
      </x:c>
      <x:c r="I6" t="n">
        <x:v>854880</x:v>
      </x:c>
      <x:c r="J6" t="str"/>
    </x:row>
    <x:row r="7">
      <x:c r="A7" t="n">
        <x:v>45444</x:v>
      </x:c>
      <x:c r="B7" t="str">
        <x:v>T-Shirt</x:v>
      </x:c>
      <x:c r="C7" t="str">
        <x:v>Clothing</x:v>
      </x:c>
      <x:c r="D7" t="str">
        <x:v>Trunk</x:v>
      </x:c>
      <x:c r="E7" t="str">
        <x:v>Barishal</x:v>
      </x:c>
      <x:c r="F7" t="str">
        <x:v>Online</x:v>
      </x:c>
      <x:c r="G7" t="n">
        <x:v>-223</x:v>
      </x:c>
      <x:c r="H7" t="n">
        <x:v>780</x:v>
      </x:c>
      <x:c r="I7" t="n">
        <x:v>-173940</x:v>
      </x:c>
      <x:c r="J7" t="str">
        <x:v>Return/refund adjustment</x:v>
      </x:c>
    </x:row>
    <x:row r="8">
      <x:c r="A8" t="n">
        <x:v>45474</x:v>
      </x:c>
      <x:c r="B8" t="str">
        <x:v>T-Shirt</x:v>
      </x:c>
      <x:c r="C8" t="str">
        <x:v>Clothing</x:v>
      </x:c>
      <x:c r="D8" t="str">
        <x:v>Trunk</x:v>
      </x:c>
      <x:c r="E8" t="str">
        <x:v>Rangpur</x:v>
      </x:c>
      <x:c r="F8" t="str">
        <x:v>Wholesale</x:v>
      </x:c>
      <x:c r="G8" t="n">
        <x:v>1154</x:v>
      </x:c>
      <x:c r="H8" t="n">
        <x:v>780</x:v>
      </x:c>
      <x:c r="I8" t="n">
        <x:v>900120</x:v>
      </x:c>
      <x:c r="J8" t="str"/>
    </x:row>
    <x:row r="9">
      <x:c r="A9" t="n">
        <x:v>45505</x:v>
      </x:c>
      <x:c r="B9" t="str">
        <x:v>T-Shirt</x:v>
      </x:c>
      <x:c r="C9" t="str">
        <x:v>Clothing</x:v>
      </x:c>
      <x:c r="D9" t="str">
        <x:v>Trunk</x:v>
      </x:c>
      <x:c r="E9" t="str">
        <x:v>Mymensingh</x:v>
      </x:c>
      <x:c r="F9" t="str">
        <x:v>Modern Trade</x:v>
      </x:c>
      <x:c r="G9" t="n">
        <x:v>1107</x:v>
      </x:c>
      <x:c r="H9" t="n">
        <x:v>780</x:v>
      </x:c>
      <x:c r="I9" t="n">
        <x:v>863460</x:v>
      </x:c>
      <x:c r="J9" t="str"/>
    </x:row>
    <x:row r="10">
      <x:c r="A10" t="n">
        <x:v>45536</x:v>
      </x:c>
      <x:c r="B10" t="str">
        <x:v>T-Shirt</x:v>
      </x:c>
      <x:c r="C10" t="str">
        <x:v>Clothing</x:v>
      </x:c>
      <x:c r="D10" t="str">
        <x:v>Trunk</x:v>
      </x:c>
      <x:c r="E10" t="str">
        <x:v>Dhaka</x:v>
      </x:c>
      <x:c r="F10" t="str">
        <x:v>Retail</x:v>
      </x:c>
      <x:c r="G10" t="n">
        <x:v>1198</x:v>
      </x:c>
      <x:c r="H10" t="n">
        <x:v>780</x:v>
      </x:c>
      <x:c r="I10" t="n">
        <x:v>934440</x:v>
      </x:c>
      <x:c r="J10" t="str"/>
    </x:row>
    <x:row r="11">
      <x:c r="A11" t="n">
        <x:v>45566</x:v>
      </x:c>
      <x:c r="B11" t="str">
        <x:v>T-Shirt</x:v>
      </x:c>
      <x:c r="C11" t="str">
        <x:v>Clothing</x:v>
      </x:c>
      <x:c r="D11" t="str">
        <x:v>Trunk</x:v>
      </x:c>
      <x:c r="E11" t="str">
        <x:v>Chattogram</x:v>
      </x:c>
      <x:c r="F11" t="str">
        <x:v>Online</x:v>
      </x:c>
      <x:c r="G11" t="n">
        <x:v>-230</x:v>
      </x:c>
      <x:c r="H11" t="n">
        <x:v>780</x:v>
      </x:c>
      <x:c r="I11" t="n">
        <x:v>-179400</x:v>
      </x:c>
      <x:c r="J11" t="str">
        <x:v>Return/refund adjustment</x:v>
      </x:c>
    </x:row>
    <x:row r="12">
      <x:c r="A12" t="n">
        <x:v>45597</x:v>
      </x:c>
      <x:c r="B12" t="str">
        <x:v>T-Shirt</x:v>
      </x:c>
      <x:c r="C12" t="str">
        <x:v>Clothing</x:v>
      </x:c>
      <x:c r="D12" t="str">
        <x:v>Trunk</x:v>
      </x:c>
      <x:c r="E12" t="str">
        <x:v>Sylhet</x:v>
      </x:c>
      <x:c r="F12" t="str">
        <x:v>Wholesale</x:v>
      </x:c>
      <x:c r="G12" t="n">
        <x:v>1164</x:v>
      </x:c>
      <x:c r="H12" t="n">
        <x:v>780</x:v>
      </x:c>
      <x:c r="I12" t="n">
        <x:v>907920</x:v>
      </x:c>
      <x:c r="J12" t="str"/>
    </x:row>
    <x:row r="13">
      <x:c r="A13" t="n">
        <x:v>45627</x:v>
      </x:c>
      <x:c r="B13" t="str">
        <x:v>T-Shirt</x:v>
      </x:c>
      <x:c r="C13" t="str">
        <x:v>Clothing</x:v>
      </x:c>
      <x:c r="D13" t="str">
        <x:v>Trunk</x:v>
      </x:c>
      <x:c r="E13" t="str">
        <x:v>Rajshahi</x:v>
      </x:c>
      <x:c r="F13" t="str">
        <x:v>Modern Trade</x:v>
      </x:c>
      <x:c r="G13" t="n">
        <x:v>1381</x:v>
      </x:c>
      <x:c r="H13" t="n">
        <x:v>780</x:v>
      </x:c>
      <x:c r="I13" t="n">
        <x:v>1077180</x:v>
      </x:c>
      <x:c r="J13" t="str"/>
    </x:row>
    <x:row r="14">
      <x:c r="A14" t="n">
        <x:v>45658</x:v>
      </x:c>
      <x:c r="B14" t="str">
        <x:v>T-Shirt</x:v>
      </x:c>
      <x:c r="C14" t="str">
        <x:v>Clothing</x:v>
      </x:c>
      <x:c r="D14" t="str">
        <x:v>Trunk</x:v>
      </x:c>
      <x:c r="E14" t="str">
        <x:v>Khulna</x:v>
      </x:c>
      <x:c r="F14" t="str">
        <x:v>Retail</x:v>
      </x:c>
      <x:c r="G14" t="n">
        <x:v>1235</x:v>
      </x:c>
      <x:c r="H14" t="n">
        <x:v>780</x:v>
      </x:c>
      <x:c r="I14" t="n">
        <x:v>963300</x:v>
      </x:c>
      <x:c r="J14" t="str"/>
    </x:row>
    <x:row r="15">
      <x:c r="A15" t="n">
        <x:v>45689</x:v>
      </x:c>
      <x:c r="B15" t="str">
        <x:v>T-Shirt</x:v>
      </x:c>
      <x:c r="C15" t="str">
        <x:v>Clothing</x:v>
      </x:c>
      <x:c r="D15" t="str">
        <x:v>Trunk</x:v>
      </x:c>
      <x:c r="E15" t="str">
        <x:v>Barishal</x:v>
      </x:c>
      <x:c r="F15" t="str">
        <x:v>Online</x:v>
      </x:c>
      <x:c r="G15" t="n">
        <x:v>1249</x:v>
      </x:c>
      <x:c r="H15" t="n">
        <x:v>780</x:v>
      </x:c>
      <x:c r="I15" t="n">
        <x:v>974220</x:v>
      </x:c>
      <x:c r="J15" t="str"/>
    </x:row>
    <x:row r="16">
      <x:c r="A16" t="n">
        <x:v>45717</x:v>
      </x:c>
      <x:c r="B16" t="str">
        <x:v>T-Shirt</x:v>
      </x:c>
      <x:c r="C16" t="str">
        <x:v>Clothing</x:v>
      </x:c>
      <x:c r="D16" t="str">
        <x:v>Trunk</x:v>
      </x:c>
      <x:c r="E16" t="str">
        <x:v>Rangpur</x:v>
      </x:c>
      <x:c r="F16" t="str">
        <x:v>Wholesale</x:v>
      </x:c>
      <x:c r="G16" t="n">
        <x:v>1404</x:v>
      </x:c>
      <x:c r="H16" t="n">
        <x:v>780</x:v>
      </x:c>
      <x:c r="I16" t="n">
        <x:v>1095120</x:v>
      </x:c>
      <x:c r="J16" t="str"/>
    </x:row>
    <x:row r="17">
      <x:c r="A17" t="n">
        <x:v>45748</x:v>
      </x:c>
      <x:c r="B17" t="str">
        <x:v>T-Shirt</x:v>
      </x:c>
      <x:c r="C17" t="str">
        <x:v>Clothing</x:v>
      </x:c>
      <x:c r="D17" t="str">
        <x:v>Trunk</x:v>
      </x:c>
      <x:c r="E17" t="str">
        <x:v>Mymensingh</x:v>
      </x:c>
      <x:c r="F17" t="str">
        <x:v>Modern Trade</x:v>
      </x:c>
      <x:c r="G17" t="n">
        <x:v>1379</x:v>
      </x:c>
      <x:c r="H17" t="n">
        <x:v>780</x:v>
      </x:c>
      <x:c r="I17" t="n">
        <x:v>1075620</x:v>
      </x:c>
      <x:c r="J17" t="str"/>
    </x:row>
    <x:row r="18">
      <x:c r="A18" t="n">
        <x:v>45778</x:v>
      </x:c>
      <x:c r="B18" t="str">
        <x:v>T-Shirt</x:v>
      </x:c>
      <x:c r="C18" t="str">
        <x:v>Clothing</x:v>
      </x:c>
      <x:c r="D18" t="str">
        <x:v>Trunk</x:v>
      </x:c>
      <x:c r="E18" t="str">
        <x:v>Dhaka</x:v>
      </x:c>
      <x:c r="F18" t="str">
        <x:v>Retail</x:v>
      </x:c>
      <x:c r="G18" t="n">
        <x:v>1311</x:v>
      </x:c>
      <x:c r="H18" t="n">
        <x:v>780</x:v>
      </x:c>
      <x:c r="I18" t="n">
        <x:v>1022580</x:v>
      </x:c>
      <x:c r="J18" t="str"/>
    </x:row>
    <x:row r="19">
      <x:c r="A19" t="n">
        <x:v>45809</x:v>
      </x:c>
      <x:c r="B19" t="str">
        <x:v>T-Shirt</x:v>
      </x:c>
      <x:c r="C19" t="str">
        <x:v>Clothing</x:v>
      </x:c>
      <x:c r="D19" t="str">
        <x:v>Trunk</x:v>
      </x:c>
      <x:c r="E19" t="str">
        <x:v>Chattogram</x:v>
      </x:c>
      <x:c r="F19" t="str">
        <x:v>Online</x:v>
      </x:c>
      <x:c r="G19" t="n">
        <x:v>-272</x:v>
      </x:c>
      <x:c r="H19" t="n">
        <x:v>780</x:v>
      </x:c>
      <x:c r="I19" t="n">
        <x:v>-212160</x:v>
      </x:c>
      <x:c r="J19" t="str">
        <x:v>Return/refund adjustment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TRU-DPF-20-01</x:v>
      </x:c>
      <x:c r="B2" t="str">
        <x:v>T-Shirt</x:v>
      </x:c>
      <x:c r="C2" t="str">
        <x:v>Clothing</x:v>
      </x:c>
      <x:c r="D2" t="str">
        <x:v>Trunk</x:v>
      </x:c>
      <x:c r="E2" t="str">
        <x:v>Dhaka</x:v>
      </x:c>
      <x:c r="F2" t="str">
        <x:v>Dhaka DC</x:v>
      </x:c>
      <x:c r="G2" t="n">
        <x:v>3737</x:v>
      </x:c>
      <x:c r="H2" t="n">
        <x:v>534</x:v>
      </x:c>
      <x:c r="I2" t="n">
        <x:v>1382</x:v>
      </x:c>
      <x:c r="J2" t="n">
        <x:v>273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TRU-DPF-20-02</x:v>
      </x:c>
      <x:c r="B3" t="str">
        <x:v>T-Shirt</x:v>
      </x:c>
      <x:c r="C3" t="str">
        <x:v>Clothing</x:v>
      </x:c>
      <x:c r="D3" t="str">
        <x:v>Trunk</x:v>
      </x:c>
      <x:c r="E3" t="str">
        <x:v>Chattogram</x:v>
      </x:c>
      <x:c r="F3" t="str">
        <x:v>Chattogram DC</x:v>
      </x:c>
      <x:c r="G3" t="n">
        <x:v>1417</x:v>
      </x:c>
      <x:c r="H3" t="n">
        <x:v>701</x:v>
      </x:c>
      <x:c r="I3" t="n">
        <x:v>1555</x:v>
      </x:c>
      <x:c r="J3" t="n">
        <x:v>297</x:v>
      </x:c>
      <x:c r="K3" t="n">
        <x:v>120</x:v>
      </x:c>
      <x:c r="L3" t="n">
        <x:v>45673</x:v>
      </x:c>
      <x:c r="M3" t="str">
        <x:v>Reorder Needed</x:v>
      </x:c>
    </x:row>
    <x:row r="4">
      <x:c r="A4" t="str">
        <x:v>TRU-DPF-20-03</x:v>
      </x:c>
      <x:c r="B4" t="str">
        <x:v>T-Shirt</x:v>
      </x:c>
      <x:c r="C4" t="str">
        <x:v>Clothing</x:v>
      </x:c>
      <x:c r="D4" t="str">
        <x:v>Trunk</x:v>
      </x:c>
      <x:c r="E4" t="str">
        <x:v>Sylhet</x:v>
      </x:c>
      <x:c r="F4" t="str">
        <x:v>Sylhet DC</x:v>
      </x:c>
      <x:c r="G4" t="n">
        <x:v>1532</x:v>
      </x:c>
      <x:c r="H4" t="n">
        <x:v>640</x:v>
      </x:c>
      <x:c r="I4" t="n">
        <x:v>1242</x:v>
      </x:c>
      <x:c r="J4" t="n">
        <x:v>479</x:v>
      </x:c>
      <x:c r="K4" t="n">
        <x:v>120</x:v>
      </x:c>
      <x:c r="L4" t="n">
        <x:v>45674</x:v>
      </x:c>
      <x:c r="M4" t="str">
        <x:v>OK</x:v>
      </x:c>
    </x:row>
    <x:row r="5">
      <x:c r="A5" t="str">
        <x:v>TRU-DPF-20-04</x:v>
      </x:c>
      <x:c r="B5" t="str">
        <x:v>T-Shirt</x:v>
      </x:c>
      <x:c r="C5" t="str">
        <x:v>Clothing</x:v>
      </x:c>
      <x:c r="D5" t="str">
        <x:v>Trunk</x:v>
      </x:c>
      <x:c r="E5" t="str">
        <x:v>Rajshahi</x:v>
      </x:c>
      <x:c r="F5" t="str">
        <x:v>Rajshahi DC</x:v>
      </x:c>
      <x:c r="G5" t="n">
        <x:v>2570</x:v>
      </x:c>
      <x:c r="H5" t="n">
        <x:v>486</x:v>
      </x:c>
      <x:c r="I5" t="n">
        <x:v>1163</x:v>
      </x:c>
      <x:c r="J5" t="n">
        <x:v>433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TRU-DPF-20-05</x:v>
      </x:c>
      <x:c r="B6" t="str">
        <x:v>T-Shirt</x:v>
      </x:c>
      <x:c r="C6" t="str">
        <x:v>Clothing</x:v>
      </x:c>
      <x:c r="D6" t="str">
        <x:v>Trunk</x:v>
      </x:c>
      <x:c r="E6" t="str">
        <x:v>Khulna</x:v>
      </x:c>
      <x:c r="F6" t="str">
        <x:v>Khulna DC</x:v>
      </x:c>
      <x:c r="G6" t="n">
        <x:v>982</x:v>
      </x:c>
      <x:c r="H6" t="n">
        <x:v>681</x:v>
      </x:c>
      <x:c r="I6" t="n">
        <x:v>1323</x:v>
      </x:c>
      <x:c r="J6" t="n">
        <x:v>369</x:v>
      </x:c>
      <x:c r="K6" t="n">
        <x:v>120</x:v>
      </x:c>
      <x:c r="L6" t="n">
        <x:v>45676</x:v>
      </x:c>
      <x:c r="M6" t="str">
        <x:v>Reorder Needed</x:v>
      </x:c>
    </x:row>
    <x:row r="7">
      <x:c r="A7" t="str">
        <x:v>TRU-DPF-20-06</x:v>
      </x:c>
      <x:c r="B7" t="str">
        <x:v>T-Shirt</x:v>
      </x:c>
      <x:c r="C7" t="str">
        <x:v>Clothing</x:v>
      </x:c>
      <x:c r="D7" t="str">
        <x:v>Trunk</x:v>
      </x:c>
      <x:c r="E7" t="str">
        <x:v>Barishal</x:v>
      </x:c>
      <x:c r="F7" t="str">
        <x:v>Barishal DC</x:v>
      </x:c>
      <x:c r="G7" t="n">
        <x:v>1015</x:v>
      </x:c>
      <x:c r="H7" t="n">
        <x:v>714</x:v>
      </x:c>
      <x:c r="I7" t="n">
        <x:v>1486</x:v>
      </x:c>
      <x:c r="J7" t="n">
        <x:v>434</x:v>
      </x:c>
      <x:c r="K7" t="n">
        <x:v>120</x:v>
      </x:c>
      <x:c r="L7" t="n">
        <x:v>45677</x:v>
      </x:c>
      <x:c r="M7" t="str">
        <x:v>Reorder Needed</x:v>
      </x:c>
    </x:row>
    <x:row r="8">
      <x:c r="A8" t="str">
        <x:v>TRU-DPF-20-07</x:v>
      </x:c>
      <x:c r="B8" t="str">
        <x:v>T-Shirt</x:v>
      </x:c>
      <x:c r="C8" t="str">
        <x:v>Clothing</x:v>
      </x:c>
      <x:c r="D8" t="str">
        <x:v>Trunk</x:v>
      </x:c>
      <x:c r="E8" t="str">
        <x:v>Rangpur</x:v>
      </x:c>
      <x:c r="F8" t="str">
        <x:v>Rangpur DC</x:v>
      </x:c>
      <x:c r="G8" t="n">
        <x:v>932</x:v>
      </x:c>
      <x:c r="H8" t="n">
        <x:v>630</x:v>
      </x:c>
      <x:c r="I8" t="n">
        <x:v>1323</x:v>
      </x:c>
      <x:c r="J8" t="n">
        <x:v>284</x:v>
      </x:c>
      <x:c r="K8" t="n">
        <x:v>120</x:v>
      </x:c>
      <x:c r="L8" t="n">
        <x:v>45678</x:v>
      </x:c>
      <x:c r="M8" t="str">
        <x:v>Reorder Needed</x:v>
      </x:c>
    </x:row>
    <x:row r="9">
      <x:c r="A9" t="str">
        <x:v>TRU-DPF-20-08</x:v>
      </x:c>
      <x:c r="B9" t="str">
        <x:v>T-Shirt</x:v>
      </x:c>
      <x:c r="C9" t="str">
        <x:v>Clothing</x:v>
      </x:c>
      <x:c r="D9" t="str">
        <x:v>Trunk</x:v>
      </x:c>
      <x:c r="E9" t="str">
        <x:v>Mymensingh</x:v>
      </x:c>
      <x:c r="F9" t="str">
        <x:v>Mymensingh DC</x:v>
      </x:c>
      <x:c r="G9" t="n">
        <x:v>2448</x:v>
      </x:c>
      <x:c r="H9" t="n">
        <x:v>570</x:v>
      </x:c>
      <x:c r="I9" t="n">
        <x:v>1179</x:v>
      </x:c>
      <x:c r="J9" t="n">
        <x:v>457</x:v>
      </x:c>
      <x:c r="K9" t="n">
        <x:v>120</x:v>
      </x:c>
      <x:c r="L9" t="n">
        <x:v>45679</x:v>
      </x:c>
      <x:c r="M9" t="str">
        <x:v>Overstock Risk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19.6</x:v>
      </x:c>
      <x:c r="G2" t="n">
        <x:v>16.3</x:v>
      </x:c>
      <x:c r="H2" t="n">
        <x:v>129550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29.9</x:v>
      </x:c>
      <x:c r="G3" t="n">
        <x:v>24.3</x:v>
      </x:c>
      <x:c r="H3" t="n">
        <x:v>124507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17.1</x:v>
      </x:c>
      <x:c r="G4" t="n">
        <x:v>19.6</x:v>
      </x:c>
      <x:c r="H4" t="n">
        <x:v>79442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17.2</x:v>
      </x:c>
      <x:c r="G5" t="n">
        <x:v>12.4</x:v>
      </x:c>
      <x:c r="H5" t="n">
        <x:v>80261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Clothing</x:v>
      </x:c>
      <x:c r="E2" t="n">
        <x:v>669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Clothing</x:v>
      </x:c>
      <x:c r="E3" t="n">
        <x:v>695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Clothing</x:v>
      </x:c>
      <x:c r="E4" t="n">
        <x:v>696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Clothing</x:v>
      </x:c>
      <x:c r="E5" t="n">
        <x:v>713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7.51</x:v>
      </x:c>
      <x:c r="C2" t="n">
        <x:v>99.4</x:v>
      </x:c>
      <x:c r="D2" t="n">
        <x:v>87.05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8.01</x:v>
      </x:c>
      <x:c r="C3" t="n">
        <x:v>99.89</x:v>
      </x:c>
      <x:c r="D3" t="n">
        <x:v>86.34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7.97</x:v>
      </x:c>
      <x:c r="C4" t="n">
        <x:v>100.59</x:v>
      </x:c>
      <x:c r="D4" t="n">
        <x:v>86.64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8.33</x:v>
      </x:c>
      <x:c r="C5" t="n">
        <x:v>101.77</x:v>
      </x:c>
      <x:c r="D5" t="n">
        <x:v>86.36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8.56</x:v>
      </x:c>
      <x:c r="C6" t="n">
        <x:v>100.21</x:v>
      </x:c>
      <x:c r="D6" t="n">
        <x:v>85.5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8.8</x:v>
      </x:c>
      <x:c r="C7" t="n">
        <x:v>102.31</x:v>
      </x:c>
      <x:c r="D7" t="n">
        <x:v>85.74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8.79</x:v>
      </x:c>
      <x:c r="C8" t="n">
        <x:v>102.14</x:v>
      </x:c>
      <x:c r="D8" t="n">
        <x:v>85.69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8.16</x:v>
      </x:c>
      <x:c r="C9" t="n">
        <x:v>101.28</x:v>
      </x:c>
      <x:c r="D9" t="n">
        <x:v>86.52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8.06</x:v>
      </x:c>
      <x:c r="C10" t="n">
        <x:v>102.85</x:v>
      </x:c>
      <x:c r="D10" t="n">
        <x:v>87.16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7.43</x:v>
      </x:c>
      <x:c r="C11" t="n">
        <x:v>102.21</x:v>
      </x:c>
      <x:c r="D11" t="n">
        <x:v>88.03</x:v>
      </x:c>
      <x:c r="E11" t="n">
        <x:v>112.6</x:v>
      </x:c>
      <x:c r="F11" t="str">
        <x:v>Low</x:v>
      </x:c>
      <x:c r="G11" t="str">
        <x:v>Economic conditions for demand adjustment</x:v>
      </x:c>
    </x:row>
    <x:row r="12">
      <x:c r="A12" t="n">
        <x:v>45597</x:v>
      </x:c>
      <x:c r="B12" t="n">
        <x:v>7.11</x:v>
      </x:c>
      <x:c r="C12" t="n">
        <x:v>103.98</x:v>
      </x:c>
      <x:c r="D12" t="n">
        <x:v>89.11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6.78</x:v>
      </x:c>
      <x:c r="C13" t="n">
        <x:v>103.23</x:v>
      </x:c>
      <x:c r="D13" t="n">
        <x:v>89.45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6.35</x:v>
      </x:c>
      <x:c r="C14" t="n">
        <x:v>102.95</x:v>
      </x:c>
      <x:c r="D14" t="n">
        <x:v>90.09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6.11</x:v>
      </x:c>
      <x:c r="C15" t="n">
        <x:v>103.48</x:v>
      </x:c>
      <x:c r="D15" t="n">
        <x:v>90.66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6.48</x:v>
      </x:c>
      <x:c r="C16" t="n">
        <x:v>103.83</x:v>
      </x:c>
      <x:c r="D16" t="n">
        <x:v>90.13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6.49</x:v>
      </x:c>
      <x:c r="C17" t="n">
        <x:v>103.69</x:v>
      </x:c>
      <x:c r="D17" t="n">
        <x:v>90.07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6.68</x:v>
      </x:c>
      <x:c r="C18" t="n">
        <x:v>103.89</x:v>
      </x:c>
      <x:c r="D18" t="n">
        <x:v>89.81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7.02</x:v>
      </x:c>
      <x:c r="C19" t="n">
        <x:v>105.43</x:v>
      </x:c>
      <x:c r="D19" t="n">
        <x:v>89.7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3</x:v>
      </x:c>
      <x:c r="E2" t="n">
        <x:v>10</x:v>
      </x:c>
      <x:c r="F2" t="n">
        <x:v>7</x:v>
      </x:c>
      <x:c r="G2" t="n">
        <x:v>4</x:v>
      </x:c>
      <x:c r="H2" t="n">
        <x:v>24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6</x:v>
      </x:c>
      <x:c r="E3" t="n">
        <x:v>9</x:v>
      </x:c>
      <x:c r="F3" t="n">
        <x:v>3</x:v>
      </x:c>
      <x:c r="G3" t="n">
        <x:v>3</x:v>
      </x:c>
      <x:c r="H3" t="n">
        <x:v>21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4</x:v>
      </x:c>
      <x:c r="E4" t="n">
        <x:v>7</x:v>
      </x:c>
      <x:c r="F4" t="n">
        <x:v>3</x:v>
      </x:c>
      <x:c r="G4" t="n">
        <x:v>4</x:v>
      </x:c>
      <x:c r="H4" t="n">
        <x:v>18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5</x:v>
      </x:c>
      <x:c r="E5" t="n">
        <x:v>12</x:v>
      </x:c>
      <x:c r="F5" t="n">
        <x:v>6</x:v>
      </x:c>
      <x:c r="G5" t="n">
        <x:v>4</x:v>
      </x:c>
      <x:c r="H5" t="n">
        <x:v>27</x:v>
      </x:c>
      <x:c r="I5" t="str">
        <x:v>Yes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1142</x:v>
      </x:c>
      <x:c r="C2" t="n">
        <x:v>1155</x:v>
      </x:c>
      <x:c r="D2" t="n">
        <x:f>C2-B2</x:f>
        <x:v>13</x:v>
      </x:c>
      <x:c r="E2" t="n">
        <x:f>ABS(D2)</x:f>
        <x:v>13</x:v>
      </x:c>
      <x:c r="F2" s="22" t="n">
        <x:f>IFERROR(E2/C2,0)</x:f>
        <x:v>0.011255411255411256</x:v>
      </x:c>
      <x:c r="G2" t="str">
        <x:v>Formula columns should calculate error and accuracy</x:v>
      </x:c>
    </x:row>
    <x:row r="3">
      <x:c r="A3" t="n">
        <x:v>45505</x:v>
      </x:c>
      <x:c r="B3" t="n">
        <x:v>1104</x:v>
      </x:c>
      <x:c r="C3" t="n">
        <x:v>1297</x:v>
      </x:c>
      <x:c r="D3" t="n">
        <x:f>C3-B3</x:f>
        <x:v>193</x:v>
      </x:c>
      <x:c r="E3" t="n">
        <x:f>ABS(D3)</x:f>
        <x:v>193</x:v>
      </x:c>
      <x:c r="F3" s="22" t="n">
        <x:f>IFERROR(E3/C3,0)</x:f>
        <x:v>0.14880493446414803</x:v>
      </x:c>
      <x:c r="G3" t="str">
        <x:v>Formula columns should calculate error and accuracy</x:v>
      </x:c>
    </x:row>
    <x:row r="4">
      <x:c r="A4" t="n">
        <x:v>45536</x:v>
      </x:c>
      <x:c r="B4" t="n">
        <x:v>1068</x:v>
      </x:c>
      <x:c r="C4" t="n">
        <x:v>932</x:v>
      </x:c>
      <x:c r="D4" t="n">
        <x:f>C4-B4</x:f>
        <x:v>-136</x:v>
      </x:c>
      <x:c r="E4" t="n">
        <x:f>ABS(D4)</x:f>
        <x:v>136</x:v>
      </x:c>
      <x:c r="F4" s="22" t="n">
        <x:f>IFERROR(E4/C4,0)</x:f>
        <x:v>0.1459227467811159</x:v>
      </x:c>
      <x:c r="G4" t="str">
        <x:v>Formula columns should calculate error and accuracy</x:v>
      </x:c>
    </x:row>
    <x:row r="5">
      <x:c r="A5" t="n">
        <x:v>45566</x:v>
      </x:c>
      <x:c r="B5" t="n">
        <x:v>1219</x:v>
      </x:c>
      <x:c r="C5" t="n">
        <x:v>1478</x:v>
      </x:c>
      <x:c r="D5" t="n">
        <x:f>C5-B5</x:f>
        <x:v>259</x:v>
      </x:c>
      <x:c r="E5" t="n">
        <x:f>ABS(D5)</x:f>
        <x:v>259</x:v>
      </x:c>
      <x:c r="F5" s="22" t="n">
        <x:f>IFERROR(E5/C5,0)</x:f>
        <x:v>0.17523680649526388</x:v>
      </x:c>
      <x:c r="G5" t="str">
        <x:v>Formula columns should calculate error and accuracy</x:v>
      </x:c>
    </x:row>
    <x:row r="6">
      <x:c r="A6" t="n">
        <x:v>45597</x:v>
      </x:c>
      <x:c r="B6" t="n">
        <x:v>1270</x:v>
      </x:c>
      <x:c r="C6" t="n">
        <x:v>1094</x:v>
      </x:c>
      <x:c r="D6" t="n">
        <x:f>C6-B6</x:f>
        <x:v>-176</x:v>
      </x:c>
      <x:c r="E6" t="n">
        <x:f>ABS(D6)</x:f>
        <x:v>176</x:v>
      </x:c>
      <x:c r="F6" s="22" t="n">
        <x:f>IFERROR(E6/C6,0)</x:f>
        <x:v>0.16087751371115175</x:v>
      </x:c>
      <x:c r="G6" t="str">
        <x:v>Formula columns should calculate error and accuracy</x:v>
      </x:c>
    </x:row>
    <x:row r="7">
      <x:c r="A7" t="n">
        <x:v>45627</x:v>
      </x:c>
      <x:c r="B7" t="n">
        <x:v>1310</x:v>
      </x:c>
      <x:c r="C7" t="n">
        <x:v>1327</x:v>
      </x:c>
      <x:c r="D7" t="n">
        <x:f>C7-B7</x:f>
        <x:v>17</x:v>
      </x:c>
      <x:c r="E7" t="n">
        <x:f>ABS(D7)</x:f>
        <x:v>17</x:v>
      </x:c>
      <x:c r="F7" s="22" t="n">
        <x:f>IFERROR(E7/C7,0)</x:f>
        <x:v>0.01281085154483798</x:v>
      </x:c>
      <x:c r="G7" t="str">
        <x:v>Formula columns should calculate error and accuracy</x:v>
      </x:c>
    </x:row>
    <x:row r="8">
      <x:c r="A8" t="n">
        <x:v>45658</x:v>
      </x:c>
      <x:c r="B8" t="n">
        <x:v>1249</x:v>
      </x:c>
      <x:c r="C8" t="n">
        <x:v>1243</x:v>
      </x:c>
      <x:c r="D8" t="n">
        <x:f>C8-B8</x:f>
        <x:v>-6</x:v>
      </x:c>
      <x:c r="E8" t="n">
        <x:f>ABS(D8)</x:f>
        <x:v>6</x:v>
      </x:c>
      <x:c r="F8" s="22" t="n">
        <x:f>IFERROR(E8/C8,0)</x:f>
        <x:v>0.004827031375703942</x:v>
      </x:c>
      <x:c r="G8" t="str">
        <x:v>Formula columns should calculate error and accuracy</x:v>
      </x:c>
    </x:row>
    <x:row r="9">
      <x:c r="A9" t="n">
        <x:v>45689</x:v>
      </x:c>
      <x:c r="B9" t="n">
        <x:v>1282</x:v>
      </x:c>
      <x:c r="C9" t="n">
        <x:v>1451</x:v>
      </x:c>
      <x:c r="D9" t="n">
        <x:f>C9-B9</x:f>
        <x:v>169</x:v>
      </x:c>
      <x:c r="E9" t="n">
        <x:f>ABS(D9)</x:f>
        <x:v>169</x:v>
      </x:c>
      <x:c r="F9" s="22" t="n">
        <x:f>IFERROR(E9/C9,0)</x:f>
        <x:v>0.11647139903514818</x:v>
      </x:c>
      <x:c r="G9" t="str">
        <x:v>Formula columns should calculate error and accuracy</x:v>
      </x:c>
    </x:row>
    <x:row r="10">
      <x:c r="A10" t="n">
        <x:v>45717</x:v>
      </x:c>
      <x:c r="B10" t="n">
        <x:v>1304</x:v>
      </x:c>
      <x:c r="C10" t="n">
        <x:v>1519</x:v>
      </x:c>
      <x:c r="D10" t="n">
        <x:f>C10-B10</x:f>
        <x:v>215</x:v>
      </x:c>
      <x:c r="E10" t="n">
        <x:f>ABS(D10)</x:f>
        <x:v>215</x:v>
      </x:c>
      <x:c r="F10" s="22" t="n">
        <x:f>IFERROR(E10/C10,0)</x:f>
        <x:v>0.14154048716260698</x:v>
      </x:c>
      <x:c r="G10" t="str">
        <x:v>Formula columns should calculate error and accuracy</x:v>
      </x:c>
    </x:row>
    <x:row r="11">
      <x:c r="A11" t="n">
        <x:v>45748</x:v>
      </x:c>
      <x:c r="B11" t="n">
        <x:v>1397</x:v>
      </x:c>
      <x:c r="C11" t="n">
        <x:v>1552</x:v>
      </x:c>
      <x:c r="D11" t="n">
        <x:f>C11-B11</x:f>
        <x:v>155</x:v>
      </x:c>
      <x:c r="E11" t="n">
        <x:f>ABS(D11)</x:f>
        <x:v>155</x:v>
      </x:c>
      <x:c r="F11" s="22" t="n">
        <x:f>IFERROR(E11/C11,0)</x:f>
        <x:v>0.09987113402061856</x:v>
      </x:c>
      <x:c r="G11" t="str">
        <x:v>Formula columns should calculate error and accuracy</x:v>
      </x:c>
    </x:row>
    <x:row r="12">
      <x:c r="A12" t="n">
        <x:v>45778</x:v>
      </x:c>
      <x:c r="B12" t="n">
        <x:v>1423</x:v>
      </x:c>
      <x:c r="C12" t="n">
        <x:v>1442</x:v>
      </x:c>
      <x:c r="D12" t="n">
        <x:f>C12-B12</x:f>
        <x:v>19</x:v>
      </x:c>
      <x:c r="E12" t="n">
        <x:f>ABS(D12)</x:f>
        <x:v>19</x:v>
      </x:c>
      <x:c r="F12" s="22" t="n">
        <x:f>IFERROR(E12/C12,0)</x:f>
        <x:v>0.013176144244105409</x:v>
      </x:c>
      <x:c r="G12" t="str">
        <x:v>Formula columns should calculate error and accuracy</x:v>
      </x:c>
    </x:row>
    <x:row r="13">
      <x:c r="A13" t="n">
        <x:v>45809</x:v>
      </x:c>
      <x:c r="B13" t="n">
        <x:v>1339</x:v>
      </x:c>
      <x:c r="C13" t="n">
        <x:v>1573</x:v>
      </x:c>
      <x:c r="D13" t="n">
        <x:f>C13-B13</x:f>
        <x:v>234</x:v>
      </x:c>
      <x:c r="E13" t="n">
        <x:f>ABS(D13)</x:f>
        <x:v>234</x:v>
      </x:c>
      <x:c r="F13" s="22" t="n">
        <x:f>IFERROR(E13/C13,0)</x:f>
        <x:v>0.1487603305785124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81</x:v>
      </x:c>
      <x:c r="E2" t="n">
        <x:v>689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61</x:v>
      </x:c>
      <x:c r="E3" t="n">
        <x:v>723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45</x:v>
      </x:c>
      <x:c r="E4" t="n">
        <x:v>546</x:v>
      </x:c>
      <x:c r="F4" t="str">
        <x:v>Low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88</x:v>
      </x:c>
      <x:c r="E5" t="n">
        <x:v>980</x:v>
      </x:c>
      <x:c r="F5" t="str">
        <x:v>High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92</x:v>
      </x:c>
      <x:c r="E6" t="n">
        <x:v>1051</x:v>
      </x:c>
      <x:c r="F6" t="str">
        <x:v>High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81</x:v>
      </x:c>
      <x:c r="E7" t="n">
        <x:v>768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87</x:v>
      </x:c>
      <x:c r="E8" t="n">
        <x:v>1136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78</x:v>
      </x:c>
      <x:c r="E9" t="n">
        <x:v>868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Weekly</x:v>
      </x:c>
      <x:c r="E2" t="n">
        <x:v>7</x:v>
      </x:c>
      <x:c r="F2" t="n">
        <x:v>6536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8</x:v>
      </x:c>
      <x:c r="F3" t="n">
        <x:v>6286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Festival-based</x:v>
      </x:c>
      <x:c r="E4" t="n">
        <x:v>3</x:v>
      </x:c>
      <x:c r="F4" t="n">
        <x:v>3050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1</x:v>
      </x:c>
      <x:c r="F5" t="n">
        <x:v>925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9</x:v>
      </x:c>
      <x:c r="F6" t="n">
        <x:v>9191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268</x:v>
      </x:c>
      <x:c r="F2" t="n">
        <x:v>90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62</x:v>
      </x:c>
      <x:c r="F3" t="n">
        <x:v>72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72</x:v>
      </x:c>
      <x:c r="F4" t="n">
        <x:v>80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12</x:v>
      </x:c>
      <x:c r="F5" t="n">
        <x:v>70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T-Shirt Trunk Clothing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T-Shirt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Clothing competitor pricing promotions Bangladesh Trunk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T-Shirt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68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61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76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67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Negative units represent returns/refunds and should be handled carefully.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