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324736aaae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abbd5a2e1757441f"/>
    <x:sheet xmlns:r="http://schemas.openxmlformats.org/officeDocument/2006/relationships" name="Historical_Sales" sheetId="2" r:id="R971a83629682430a"/>
    <x:sheet xmlns:r="http://schemas.openxmlformats.org/officeDocument/2006/relationships" name="Inventory" sheetId="3" r:id="R96e997fc675246a0"/>
    <x:sheet xmlns:r="http://schemas.openxmlformats.org/officeDocument/2006/relationships" name="Promotions" sheetId="4" r:id="R6fba65486df844df"/>
    <x:sheet xmlns:r="http://schemas.openxmlformats.org/officeDocument/2006/relationships" name="Competitors" sheetId="5" r:id="Ra21c3754506b4b74"/>
    <x:sheet xmlns:r="http://schemas.openxmlformats.org/officeDocument/2006/relationships" name="Economic" sheetId="6" r:id="Rd463ab379bb74f39"/>
    <x:sheet xmlns:r="http://schemas.openxmlformats.org/officeDocument/2006/relationships" name="Lead_Time" sheetId="7" r:id="R65da89a7baed4a73"/>
    <x:sheet xmlns:r="http://schemas.openxmlformats.org/officeDocument/2006/relationships" name="Forecast_Actual" sheetId="8" r:id="R400a5044ffe64533"/>
    <x:sheet xmlns:r="http://schemas.openxmlformats.org/officeDocument/2006/relationships" name="Regional_Demand_Map" sheetId="9" r:id="R25ae7946954e4036"/>
    <x:sheet xmlns:r="http://schemas.openxmlformats.org/officeDocument/2006/relationships" name="SCM_Flow_Map" sheetId="10" r:id="Rccd770a3bb314688"/>
    <x:sheet xmlns:r="http://schemas.openxmlformats.org/officeDocument/2006/relationships" name="Customer_Patterns" sheetId="11" r:id="R992c6d7b933c4d0d"/>
    <x:sheet xmlns:r="http://schemas.openxmlformats.org/officeDocument/2006/relationships" name="Technology_Data" sheetId="12" r:id="Rba14d02bae0b4aed"/>
    <x:sheet xmlns:r="http://schemas.openxmlformats.org/officeDocument/2006/relationships" name="Web_Search_Seeds" sheetId="13" r:id="Rcb72e795fd3b4e39"/>
    <x:sheet xmlns:r="http://schemas.openxmlformats.org/officeDocument/2006/relationships" name="Manual_Expert_Opinion" sheetId="14" r:id="Rca1407ac31e04952"/>
    <x:sheet xmlns:r="http://schemas.openxmlformats.org/officeDocument/2006/relationships" name="Data_Issues" sheetId="15" r:id="Rb654b770dc6d48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c44db0db2442e" /><Relationship Type="http://schemas.openxmlformats.org/officeDocument/2006/relationships/theme" Target="/xl/theme/theme1.xml" Id="R808bf967688d4110" /><Relationship Type="http://schemas.openxmlformats.org/officeDocument/2006/relationships/sharedStrings" Target="/xl/sharedStrings.xml" Id="R8ac9116ee6274d9b" /><Relationship Type="http://schemas.openxmlformats.org/officeDocument/2006/relationships/worksheet" Target="/xl/worksheets/sheet1.xml" Id="Rabbd5a2e1757441f" /><Relationship Type="http://schemas.openxmlformats.org/officeDocument/2006/relationships/worksheet" Target="/xl/worksheets/sheet2.xml" Id="R971a83629682430a" /><Relationship Type="http://schemas.openxmlformats.org/officeDocument/2006/relationships/worksheet" Target="/xl/worksheets/sheet3.xml" Id="R96e997fc675246a0" /><Relationship Type="http://schemas.openxmlformats.org/officeDocument/2006/relationships/worksheet" Target="/xl/worksheets/sheet4.xml" Id="R6fba65486df844df" /><Relationship Type="http://schemas.openxmlformats.org/officeDocument/2006/relationships/worksheet" Target="/xl/worksheets/sheet5.xml" Id="Ra21c3754506b4b74" /><Relationship Type="http://schemas.openxmlformats.org/officeDocument/2006/relationships/worksheet" Target="/xl/worksheets/sheet6.xml" Id="Rd463ab379bb74f39" /><Relationship Type="http://schemas.openxmlformats.org/officeDocument/2006/relationships/worksheet" Target="/xl/worksheets/sheet7.xml" Id="R65da89a7baed4a73" /><Relationship Type="http://schemas.openxmlformats.org/officeDocument/2006/relationships/worksheet" Target="/xl/worksheets/sheet8.xml" Id="R400a5044ffe64533" /><Relationship Type="http://schemas.openxmlformats.org/officeDocument/2006/relationships/worksheet" Target="/xl/worksheets/sheet9.xml" Id="R25ae7946954e4036" /><Relationship Type="http://schemas.openxmlformats.org/officeDocument/2006/relationships/worksheet" Target="/xl/worksheets/sheet10.xml" Id="Rccd770a3bb314688" /><Relationship Type="http://schemas.openxmlformats.org/officeDocument/2006/relationships/worksheet" Target="/xl/worksheets/sheet11.xml" Id="R992c6d7b933c4d0d" /><Relationship Type="http://schemas.openxmlformats.org/officeDocument/2006/relationships/worksheet" Target="/xl/worksheets/sheet12.xml" Id="Rba14d02bae0b4aed" /><Relationship Type="http://schemas.openxmlformats.org/officeDocument/2006/relationships/worksheet" Target="/xl/worksheets/sheet13.xml" Id="Rcb72e795fd3b4e39" /><Relationship Type="http://schemas.openxmlformats.org/officeDocument/2006/relationships/worksheet" Target="/xl/worksheets/sheet14.xml" Id="Rca1407ac31e04952" /><Relationship Type="http://schemas.openxmlformats.org/officeDocument/2006/relationships/worksheet" Target="/xl/worksheets/sheet15.xml" Id="Rb654b770dc6d48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DPF-29</x:v>
      </x:c>
    </x:row>
    <x:row r="3">
      <x:c r="A3" t="str">
        <x:v>Scenario Title</x:v>
      </x:c>
      <x:c r="B3" t="str">
        <x:v>Manual Expert Opinion Heavy</x:v>
      </x:c>
    </x:row>
    <x:row r="4">
      <x:c r="A4" t="str">
        <x:v>Purpose</x:v>
      </x:c>
      <x:c r="B4" t="str">
        <x:v>Test qualitative forecasting input.</x:v>
      </x:c>
    </x:row>
    <x:row r="5">
      <x:c r="A5" t="str">
        <x:v>Product Name</x:v>
      </x:c>
      <x:c r="B5" t="str">
        <x:v>Luxury Bridal Dress</x:v>
      </x:c>
    </x:row>
    <x:row r="6">
      <x:c r="A6" t="str">
        <x:v>Category</x:v>
      </x:c>
      <x:c r="B6" t="str">
        <x:v>Wedding Fashion</x:v>
      </x:c>
    </x:row>
    <x:row r="7">
      <x:c r="A7" t="str">
        <x:v>Brand</x:v>
      </x:c>
      <x:c r="B7" t="str">
        <x:v>Gulzar e Nikah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Expert Opinion, Seasonality, Market Trends</x:v>
      </x:c>
    </x:row>
    <x:row r="11">
      <x:c r="A11" t="str">
        <x:v>Recommended Inputs To Tick</x:v>
      </x:c>
      <x:c r="B11" t="str">
        <x:v>Expert Opinion / Manual Notes, Seasonality, Market Trends</x:v>
      </x:c>
    </x:row>
    <x:row r="12">
      <x:c r="A12" t="str">
        <x:v>Recommended Outputs To Tick</x:v>
      </x:c>
      <x:c r="B12" t="str">
        <x:v>Demand Forecast, Final SCM Recommendation, Action Plan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Luxury Bridal Dress</x:v>
      </x:c>
      <x:c r="C2" t="str">
        <x:v>Wedding Fashion</x:v>
      </x:c>
      <x:c r="D2" t="str">
        <x:v>Gulzar e Nikah</x:v>
      </x:c>
      <x:c r="E2" t="str">
        <x:v>Dhaka</x:v>
      </x:c>
      <x:c r="F2" t="str">
        <x:v>Retail</x:v>
      </x:c>
      <x:c r="G2" t="n">
        <x:v>74</x:v>
      </x:c>
      <x:c r="H2" t="n">
        <x:v>75000</x:v>
      </x:c>
      <x:c r="I2" t="n">
        <x:v>5550000</x:v>
      </x:c>
      <x:c r="J2" t="str"/>
    </x:row>
    <x:row r="3">
      <x:c r="A3" t="n">
        <x:v>45323</x:v>
      </x:c>
      <x:c r="B3" t="str">
        <x:v>Luxury Bridal Dress</x:v>
      </x:c>
      <x:c r="C3" t="str">
        <x:v>Wedding Fashion</x:v>
      </x:c>
      <x:c r="D3" t="str">
        <x:v>Gulzar e Nikah</x:v>
      </x:c>
      <x:c r="E3" t="str">
        <x:v>Chattogram</x:v>
      </x:c>
      <x:c r="F3" t="str">
        <x:v>Online</x:v>
      </x:c>
      <x:c r="G3" t="n">
        <x:v>72</x:v>
      </x:c>
      <x:c r="H3" t="n">
        <x:v>75000</x:v>
      </x:c>
      <x:c r="I3" t="n">
        <x:v>5400000</x:v>
      </x:c>
      <x:c r="J3" t="str"/>
    </x:row>
    <x:row r="4">
      <x:c r="A4" t="n">
        <x:v>45352</x:v>
      </x:c>
      <x:c r="B4" t="str">
        <x:v>Luxury Bridal Dress</x:v>
      </x:c>
      <x:c r="C4" t="str">
        <x:v>Wedding Fashion</x:v>
      </x:c>
      <x:c r="D4" t="str">
        <x:v>Gulzar e Nikah</x:v>
      </x:c>
      <x:c r="E4" t="str">
        <x:v>Sylhet</x:v>
      </x:c>
      <x:c r="F4" t="str">
        <x:v>Wholesale</x:v>
      </x:c>
      <x:c r="G4" t="n">
        <x:v>132</x:v>
      </x:c>
      <x:c r="H4" t="n">
        <x:v>75000</x:v>
      </x:c>
      <x:c r="I4" t="n">
        <x:v>9900000</x:v>
      </x:c>
      <x:c r="J4" t="str">
        <x:v>Ramadan/Eid demand surge</x:v>
      </x:c>
    </x:row>
    <x:row r="5">
      <x:c r="A5" t="n">
        <x:v>45383</x:v>
      </x:c>
      <x:c r="B5" t="str">
        <x:v>Luxury Bridal Dress</x:v>
      </x:c>
      <x:c r="C5" t="str">
        <x:v>Wedding Fashion</x:v>
      </x:c>
      <x:c r="D5" t="str">
        <x:v>Gulzar e Nikah</x:v>
      </x:c>
      <x:c r="E5" t="str">
        <x:v>Rajshahi</x:v>
      </x:c>
      <x:c r="F5" t="str">
        <x:v>Modern Trade</x:v>
      </x:c>
      <x:c r="G5" t="n">
        <x:v>122</x:v>
      </x:c>
      <x:c r="H5" t="n">
        <x:v>75000</x:v>
      </x:c>
      <x:c r="I5" t="n">
        <x:v>9150000</x:v>
      </x:c>
      <x:c r="J5" t="str">
        <x:v>Ramadan/Eid demand surge</x:v>
      </x:c>
    </x:row>
    <x:row r="6">
      <x:c r="A6" t="n">
        <x:v>45413</x:v>
      </x:c>
      <x:c r="B6" t="str">
        <x:v>Luxury Bridal Dress</x:v>
      </x:c>
      <x:c r="C6" t="str">
        <x:v>Wedding Fashion</x:v>
      </x:c>
      <x:c r="D6" t="str">
        <x:v>Gulzar e Nikah</x:v>
      </x:c>
      <x:c r="E6" t="str">
        <x:v>Khulna</x:v>
      </x:c>
      <x:c r="F6" t="str">
        <x:v>Retail</x:v>
      </x:c>
      <x:c r="G6" t="n">
        <x:v>95</x:v>
      </x:c>
      <x:c r="H6" t="n">
        <x:v>75000</x:v>
      </x:c>
      <x:c r="I6" t="n">
        <x:v>7125000</x:v>
      </x:c>
      <x:c r="J6" t="str"/>
    </x:row>
    <x:row r="7">
      <x:c r="A7" t="n">
        <x:v>45444</x:v>
      </x:c>
      <x:c r="B7" t="str">
        <x:v>Luxury Bridal Dress</x:v>
      </x:c>
      <x:c r="C7" t="str">
        <x:v>Wedding Fashion</x:v>
      </x:c>
      <x:c r="D7" t="str">
        <x:v>Gulzar e Nikah</x:v>
      </x:c>
      <x:c r="E7" t="str">
        <x:v>Barishal</x:v>
      </x:c>
      <x:c r="F7" t="str">
        <x:v>Online</x:v>
      </x:c>
      <x:c r="G7" t="n">
        <x:v>87</x:v>
      </x:c>
      <x:c r="H7" t="n">
        <x:v>75000</x:v>
      </x:c>
      <x:c r="I7" t="n">
        <x:v>6525000</x:v>
      </x:c>
      <x:c r="J7" t="str"/>
    </x:row>
    <x:row r="8">
      <x:c r="A8" t="n">
        <x:v>45474</x:v>
      </x:c>
      <x:c r="B8" t="str">
        <x:v>Luxury Bridal Dress</x:v>
      </x:c>
      <x:c r="C8" t="str">
        <x:v>Wedding Fashion</x:v>
      </x:c>
      <x:c r="D8" t="str">
        <x:v>Gulzar e Nikah</x:v>
      </x:c>
      <x:c r="E8" t="str">
        <x:v>Rangpur</x:v>
      </x:c>
      <x:c r="F8" t="str">
        <x:v>Wholesale</x:v>
      </x:c>
      <x:c r="G8" t="n">
        <x:v>82</x:v>
      </x:c>
      <x:c r="H8" t="n">
        <x:v>75000</x:v>
      </x:c>
      <x:c r="I8" t="n">
        <x:v>6150000</x:v>
      </x:c>
      <x:c r="J8" t="str"/>
    </x:row>
    <x:row r="9">
      <x:c r="A9" t="n">
        <x:v>45505</x:v>
      </x:c>
      <x:c r="B9" t="str">
        <x:v>Luxury Bridal Dress</x:v>
      </x:c>
      <x:c r="C9" t="str">
        <x:v>Wedding Fashion</x:v>
      </x:c>
      <x:c r="D9" t="str">
        <x:v>Gulzar e Nikah</x:v>
      </x:c>
      <x:c r="E9" t="str">
        <x:v>Mymensingh</x:v>
      </x:c>
      <x:c r="F9" t="str">
        <x:v>Modern Trade</x:v>
      </x:c>
      <x:c r="G9" t="n">
        <x:v>94</x:v>
      </x:c>
      <x:c r="H9" t="n">
        <x:v>75000</x:v>
      </x:c>
      <x:c r="I9" t="n">
        <x:v>7050000</x:v>
      </x:c>
      <x:c r="J9" t="str"/>
    </x:row>
    <x:row r="10">
      <x:c r="A10" t="n">
        <x:v>45536</x:v>
      </x:c>
      <x:c r="B10" t="str">
        <x:v>Luxury Bridal Dress</x:v>
      </x:c>
      <x:c r="C10" t="str">
        <x:v>Wedding Fashion</x:v>
      </x:c>
      <x:c r="D10" t="str">
        <x:v>Gulzar e Nikah</x:v>
      </x:c>
      <x:c r="E10" t="str">
        <x:v>Dhaka</x:v>
      </x:c>
      <x:c r="F10" t="str">
        <x:v>Retail</x:v>
      </x:c>
      <x:c r="G10" t="n">
        <x:v>83</x:v>
      </x:c>
      <x:c r="H10" t="n">
        <x:v>75000</x:v>
      </x:c>
      <x:c r="I10" t="n">
        <x:v>6225000</x:v>
      </x:c>
      <x:c r="J10" t="str"/>
    </x:row>
    <x:row r="11">
      <x:c r="A11" t="n">
        <x:v>45566</x:v>
      </x:c>
      <x:c r="B11" t="str">
        <x:v>Luxury Bridal Dress</x:v>
      </x:c>
      <x:c r="C11" t="str">
        <x:v>Wedding Fashion</x:v>
      </x:c>
      <x:c r="D11" t="str">
        <x:v>Gulzar e Nikah</x:v>
      </x:c>
      <x:c r="E11" t="str">
        <x:v>Chattogram</x:v>
      </x:c>
      <x:c r="F11" t="str">
        <x:v>Online</x:v>
      </x:c>
      <x:c r="G11" t="n">
        <x:v>88</x:v>
      </x:c>
      <x:c r="H11" t="n">
        <x:v>75000</x:v>
      </x:c>
      <x:c r="I11" t="n">
        <x:v>6600000</x:v>
      </x:c>
      <x:c r="J11" t="str"/>
    </x:row>
    <x:row r="12">
      <x:c r="A12" t="n">
        <x:v>45597</x:v>
      </x:c>
      <x:c r="B12" t="str">
        <x:v>Luxury Bridal Dress</x:v>
      </x:c>
      <x:c r="C12" t="str">
        <x:v>Wedding Fashion</x:v>
      </x:c>
      <x:c r="D12" t="str">
        <x:v>Gulzar e Nikah</x:v>
      </x:c>
      <x:c r="E12" t="str">
        <x:v>Sylhet</x:v>
      </x:c>
      <x:c r="F12" t="str">
        <x:v>Wholesale</x:v>
      </x:c>
      <x:c r="G12" t="n">
        <x:v>98</x:v>
      </x:c>
      <x:c r="H12" t="n">
        <x:v>75000</x:v>
      </x:c>
      <x:c r="I12" t="n">
        <x:v>7350000</x:v>
      </x:c>
      <x:c r="J12" t="str"/>
    </x:row>
    <x:row r="13">
      <x:c r="A13" t="n">
        <x:v>45627</x:v>
      </x:c>
      <x:c r="B13" t="str">
        <x:v>Luxury Bridal Dress</x:v>
      </x:c>
      <x:c r="C13" t="str">
        <x:v>Wedding Fashion</x:v>
      </x:c>
      <x:c r="D13" t="str">
        <x:v>Gulzar e Nikah</x:v>
      </x:c>
      <x:c r="E13" t="str">
        <x:v>Rajshahi</x:v>
      </x:c>
      <x:c r="F13" t="str">
        <x:v>Modern Trade</x:v>
      </x:c>
      <x:c r="G13" t="n">
        <x:v>101</x:v>
      </x:c>
      <x:c r="H13" t="n">
        <x:v>75000</x:v>
      </x:c>
      <x:c r="I13" t="n">
        <x:v>7575000</x:v>
      </x:c>
      <x:c r="J13" t="str"/>
    </x:row>
    <x:row r="14">
      <x:c r="A14" t="n">
        <x:v>45658</x:v>
      </x:c>
      <x:c r="B14" t="str">
        <x:v>Luxury Bridal Dress</x:v>
      </x:c>
      <x:c r="C14" t="str">
        <x:v>Wedding Fashion</x:v>
      </x:c>
      <x:c r="D14" t="str">
        <x:v>Gulzar e Nikah</x:v>
      </x:c>
      <x:c r="E14" t="str">
        <x:v>Khulna</x:v>
      </x:c>
      <x:c r="F14" t="str">
        <x:v>Retail</x:v>
      </x:c>
      <x:c r="G14" t="n">
        <x:v>91</x:v>
      </x:c>
      <x:c r="H14" t="n">
        <x:v>75000</x:v>
      </x:c>
      <x:c r="I14" t="n">
        <x:v>6825000</x:v>
      </x:c>
      <x:c r="J14" t="str"/>
    </x:row>
    <x:row r="15">
      <x:c r="A15" t="n">
        <x:v>45689</x:v>
      </x:c>
      <x:c r="B15" t="str">
        <x:v>Luxury Bridal Dress</x:v>
      </x:c>
      <x:c r="C15" t="str">
        <x:v>Wedding Fashion</x:v>
      </x:c>
      <x:c r="D15" t="str">
        <x:v>Gulzar e Nikah</x:v>
      </x:c>
      <x:c r="E15" t="str">
        <x:v>Barishal</x:v>
      </x:c>
      <x:c r="F15" t="str">
        <x:v>Online</x:v>
      </x:c>
      <x:c r="G15" t="n">
        <x:v>87</x:v>
      </x:c>
      <x:c r="H15" t="n">
        <x:v>75000</x:v>
      </x:c>
      <x:c r="I15" t="n">
        <x:v>6525000</x:v>
      </x:c>
      <x:c r="J15" t="str"/>
    </x:row>
    <x:row r="16">
      <x:c r="A16" t="n">
        <x:v>45717</x:v>
      </x:c>
      <x:c r="B16" t="str">
        <x:v>Luxury Bridal Dress</x:v>
      </x:c>
      <x:c r="C16" t="str">
        <x:v>Wedding Fashion</x:v>
      </x:c>
      <x:c r="D16" t="str">
        <x:v>Gulzar e Nikah</x:v>
      </x:c>
      <x:c r="E16" t="str">
        <x:v>Rangpur</x:v>
      </x:c>
      <x:c r="F16" t="str">
        <x:v>Wholesale</x:v>
      </x:c>
      <x:c r="G16" t="n">
        <x:v>136</x:v>
      </x:c>
      <x:c r="H16" t="n">
        <x:v>75000</x:v>
      </x:c>
      <x:c r="I16" t="n">
        <x:v>10200000</x:v>
      </x:c>
      <x:c r="J16" t="str">
        <x:v>Ramadan/Eid demand surge</x:v>
      </x:c>
    </x:row>
    <x:row r="17">
      <x:c r="A17" t="n">
        <x:v>45748</x:v>
      </x:c>
      <x:c r="B17" t="str">
        <x:v>Luxury Bridal Dress</x:v>
      </x:c>
      <x:c r="C17" t="str">
        <x:v>Wedding Fashion</x:v>
      </x:c>
      <x:c r="D17" t="str">
        <x:v>Gulzar e Nikah</x:v>
      </x:c>
      <x:c r="E17" t="str">
        <x:v>Mymensingh</x:v>
      </x:c>
      <x:c r="F17" t="str">
        <x:v>Modern Trade</x:v>
      </x:c>
      <x:c r="G17" t="n">
        <x:v>155</x:v>
      </x:c>
      <x:c r="H17" t="n">
        <x:v>75000</x:v>
      </x:c>
      <x:c r="I17" t="n">
        <x:v>11625000</x:v>
      </x:c>
      <x:c r="J17" t="str">
        <x:v>Ramadan/Eid demand surge</x:v>
      </x:c>
    </x:row>
    <x:row r="18">
      <x:c r="A18" t="n">
        <x:v>45778</x:v>
      </x:c>
      <x:c r="B18" t="str">
        <x:v>Luxury Bridal Dress</x:v>
      </x:c>
      <x:c r="C18" t="str">
        <x:v>Wedding Fashion</x:v>
      </x:c>
      <x:c r="D18" t="str">
        <x:v>Gulzar e Nikah</x:v>
      </x:c>
      <x:c r="E18" t="str">
        <x:v>Dhaka</x:v>
      </x:c>
      <x:c r="F18" t="str">
        <x:v>Retail</x:v>
      </x:c>
      <x:c r="G18" t="n">
        <x:v>105</x:v>
      </x:c>
      <x:c r="H18" t="n">
        <x:v>75000</x:v>
      </x:c>
      <x:c r="I18" t="n">
        <x:v>7875000</x:v>
      </x:c>
      <x:c r="J18" t="str"/>
    </x:row>
    <x:row r="19">
      <x:c r="A19" t="n">
        <x:v>45809</x:v>
      </x:c>
      <x:c r="B19" t="str">
        <x:v>Luxury Bridal Dress</x:v>
      </x:c>
      <x:c r="C19" t="str">
        <x:v>Wedding Fashion</x:v>
      </x:c>
      <x:c r="D19" t="str">
        <x:v>Gulzar e Nikah</x:v>
      </x:c>
      <x:c r="E19" t="str">
        <x:v>Chattogram</x:v>
      </x:c>
      <x:c r="F19" t="str">
        <x:v>Online</x:v>
      </x:c>
      <x:c r="G19" t="n">
        <x:v>110</x:v>
      </x:c>
      <x:c r="H19" t="n">
        <x:v>75000</x:v>
      </x:c>
      <x:c r="I19" t="n">
        <x:v>8250000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GUL-DPF-29-01</x:v>
      </x:c>
      <x:c r="B2" t="str">
        <x:v>Luxury Bridal Dress</x:v>
      </x:c>
      <x:c r="C2" t="str">
        <x:v>Wedding Fashion</x:v>
      </x:c>
      <x:c r="D2" t="str">
        <x:v>Gulzar e Nikah</x:v>
      </x:c>
      <x:c r="E2" t="str">
        <x:v>Dhaka</x:v>
      </x:c>
      <x:c r="F2" t="str">
        <x:v>Dhaka DC</x:v>
      </x:c>
      <x:c r="G2" t="n">
        <x:v>1987</x:v>
      </x:c>
      <x:c r="H2" t="n">
        <x:v>708</x:v>
      </x:c>
      <x:c r="I2" t="n">
        <x:v>1427</x:v>
      </x:c>
      <x:c r="J2" t="n">
        <x:v>349</x:v>
      </x:c>
      <x:c r="K2" t="n">
        <x:v>120</x:v>
      </x:c>
      <x:c r="L2" t="n">
        <x:v>45672</x:v>
      </x:c>
      <x:c r="M2" t="str">
        <x:v>OK</x:v>
      </x:c>
    </x:row>
    <x:row r="3">
      <x:c r="A3" t="str">
        <x:v>GUL-DPF-29-02</x:v>
      </x:c>
      <x:c r="B3" t="str">
        <x:v>Luxury Bridal Dress</x:v>
      </x:c>
      <x:c r="C3" t="str">
        <x:v>Wedding Fashion</x:v>
      </x:c>
      <x:c r="D3" t="str">
        <x:v>Gulzar e Nikah</x:v>
      </x:c>
      <x:c r="E3" t="str">
        <x:v>Chattogram</x:v>
      </x:c>
      <x:c r="F3" t="str">
        <x:v>Chattogram DC</x:v>
      </x:c>
      <x:c r="G3" t="n">
        <x:v>3532</x:v>
      </x:c>
      <x:c r="H3" t="n">
        <x:v>583</x:v>
      </x:c>
      <x:c r="I3" t="n">
        <x:v>1399</x:v>
      </x:c>
      <x:c r="J3" t="n">
        <x:v>475</x:v>
      </x:c>
      <x:c r="K3" t="n">
        <x:v>120</x:v>
      </x:c>
      <x:c r="L3" t="n">
        <x:v>45673</x:v>
      </x:c>
      <x:c r="M3" t="str">
        <x:v>Overstock Risk</x:v>
      </x:c>
    </x:row>
    <x:row r="4">
      <x:c r="A4" t="str">
        <x:v>GUL-DPF-29-03</x:v>
      </x:c>
      <x:c r="B4" t="str">
        <x:v>Luxury Bridal Dress</x:v>
      </x:c>
      <x:c r="C4" t="str">
        <x:v>Wedding Fashion</x:v>
      </x:c>
      <x:c r="D4" t="str">
        <x:v>Gulzar e Nikah</x:v>
      </x:c>
      <x:c r="E4" t="str">
        <x:v>Sylhet</x:v>
      </x:c>
      <x:c r="F4" t="str">
        <x:v>Sylhet DC</x:v>
      </x:c>
      <x:c r="G4" t="n">
        <x:v>1102</x:v>
      </x:c>
      <x:c r="H4" t="n">
        <x:v>606</x:v>
      </x:c>
      <x:c r="I4" t="n">
        <x:v>1429</x:v>
      </x:c>
      <x:c r="J4" t="n">
        <x:v>375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GUL-DPF-29-04</x:v>
      </x:c>
      <x:c r="B5" t="str">
        <x:v>Luxury Bridal Dress</x:v>
      </x:c>
      <x:c r="C5" t="str">
        <x:v>Wedding Fashion</x:v>
      </x:c>
      <x:c r="D5" t="str">
        <x:v>Gulzar e Nikah</x:v>
      </x:c>
      <x:c r="E5" t="str">
        <x:v>Rajshahi</x:v>
      </x:c>
      <x:c r="F5" t="str">
        <x:v>Rajshahi DC</x:v>
      </x:c>
      <x:c r="G5" t="n">
        <x:v>1798</x:v>
      </x:c>
      <x:c r="H5" t="n">
        <x:v>462</x:v>
      </x:c>
      <x:c r="I5" t="n">
        <x:v>1233</x:v>
      </x:c>
      <x:c r="J5" t="n">
        <x:v>244</x:v>
      </x:c>
      <x:c r="K5" t="n">
        <x:v>120</x:v>
      </x:c>
      <x:c r="L5" t="n">
        <x:v>45675</x:v>
      </x:c>
      <x:c r="M5" t="str">
        <x:v>OK</x:v>
      </x:c>
    </x:row>
    <x:row r="6">
      <x:c r="A6" t="str">
        <x:v>GUL-DPF-29-05</x:v>
      </x:c>
      <x:c r="B6" t="str">
        <x:v>Luxury Bridal Dress</x:v>
      </x:c>
      <x:c r="C6" t="str">
        <x:v>Wedding Fashion</x:v>
      </x:c>
      <x:c r="D6" t="str">
        <x:v>Gulzar e Nikah</x:v>
      </x:c>
      <x:c r="E6" t="str">
        <x:v>Khulna</x:v>
      </x:c>
      <x:c r="F6" t="str">
        <x:v>Khulna DC</x:v>
      </x:c>
      <x:c r="G6" t="n">
        <x:v>2608</x:v>
      </x:c>
      <x:c r="H6" t="n">
        <x:v>557</x:v>
      </x:c>
      <x:c r="I6" t="n">
        <x:v>1338</x:v>
      </x:c>
      <x:c r="J6" t="n">
        <x:v>268</x:v>
      </x:c>
      <x:c r="K6" t="n">
        <x:v>120</x:v>
      </x:c>
      <x:c r="L6" t="n">
        <x:v>45676</x:v>
      </x:c>
      <x:c r="M6" t="str">
        <x:v>OK</x:v>
      </x:c>
    </x:row>
    <x:row r="7">
      <x:c r="A7" t="str">
        <x:v>GUL-DPF-29-06</x:v>
      </x:c>
      <x:c r="B7" t="str">
        <x:v>Luxury Bridal Dress</x:v>
      </x:c>
      <x:c r="C7" t="str">
        <x:v>Wedding Fashion</x:v>
      </x:c>
      <x:c r="D7" t="str">
        <x:v>Gulzar e Nikah</x:v>
      </x:c>
      <x:c r="E7" t="str">
        <x:v>Barishal</x:v>
      </x:c>
      <x:c r="F7" t="str">
        <x:v>Barishal DC</x:v>
      </x:c>
      <x:c r="G7" t="n">
        <x:v>997</x:v>
      </x:c>
      <x:c r="H7" t="n">
        <x:v>679</x:v>
      </x:c>
      <x:c r="I7" t="n">
        <x:v>1352</x:v>
      </x:c>
      <x:c r="J7" t="n">
        <x:v>624</x:v>
      </x:c>
      <x:c r="K7" t="n">
        <x:v>120</x:v>
      </x:c>
      <x:c r="L7" t="n">
        <x:v>45677</x:v>
      </x:c>
      <x:c r="M7" t="str">
        <x:v>Reorder Needed</x:v>
      </x:c>
    </x:row>
    <x:row r="8">
      <x:c r="A8" t="str">
        <x:v>GUL-DPF-29-07</x:v>
      </x:c>
      <x:c r="B8" t="str">
        <x:v>Luxury Bridal Dress</x:v>
      </x:c>
      <x:c r="C8" t="str">
        <x:v>Wedding Fashion</x:v>
      </x:c>
      <x:c r="D8" t="str">
        <x:v>Gulzar e Nikah</x:v>
      </x:c>
      <x:c r="E8" t="str">
        <x:v>Rangpur</x:v>
      </x:c>
      <x:c r="F8" t="str">
        <x:v>Rangpur DC</x:v>
      </x:c>
      <x:c r="G8" t="n">
        <x:v>1664</x:v>
      </x:c>
      <x:c r="H8" t="n">
        <x:v>710</x:v>
      </x:c>
      <x:c r="I8" t="n">
        <x:v>1573</x:v>
      </x:c>
      <x:c r="J8" t="n">
        <x:v>116</x:v>
      </x:c>
      <x:c r="K8" t="n">
        <x:v>120</x:v>
      </x:c>
      <x:c r="L8" t="n">
        <x:v>45678</x:v>
      </x:c>
      <x:c r="M8" t="str">
        <x:v>OK</x:v>
      </x:c>
    </x:row>
    <x:row r="9">
      <x:c r="A9" t="str">
        <x:v>GUL-DPF-29-08</x:v>
      </x:c>
      <x:c r="B9" t="str">
        <x:v>Luxury Bridal Dress</x:v>
      </x:c>
      <x:c r="C9" t="str">
        <x:v>Wedding Fashion</x:v>
      </x:c>
      <x:c r="D9" t="str">
        <x:v>Gulzar e Nikah</x:v>
      </x:c>
      <x:c r="E9" t="str">
        <x:v>Mymensingh</x:v>
      </x:c>
      <x:c r="F9" t="str">
        <x:v>Mymensingh DC</x:v>
      </x:c>
      <x:c r="G9" t="n">
        <x:v>2708</x:v>
      </x:c>
      <x:c r="H9" t="n">
        <x:v>540</x:v>
      </x:c>
      <x:c r="I9" t="n">
        <x:v>1356</x:v>
      </x:c>
      <x:c r="J9" t="n">
        <x:v>449</x:v>
      </x:c>
      <x:c r="K9" t="n">
        <x:v>120</x:v>
      </x:c>
      <x:c r="L9" t="n">
        <x:v>45679</x:v>
      </x:c>
      <x:c r="M9" t="str">
        <x:v>OK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23.4</x:v>
      </x:c>
      <x:c r="G2" t="n">
        <x:v>17.2</x:v>
      </x:c>
      <x:c r="H2" t="n">
        <x:v>124682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32.1</x:v>
      </x:c>
      <x:c r="G3" t="n">
        <x:v>21.5</x:v>
      </x:c>
      <x:c r="H3" t="n">
        <x:v>76051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26.7</x:v>
      </x:c>
      <x:c r="G4" t="n">
        <x:v>23.2</x:v>
      </x:c>
      <x:c r="H4" t="n">
        <x:v>104457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15.7</x:v>
      </x:c>
      <x:c r="G5" t="n">
        <x:v>15.9</x:v>
      </x:c>
      <x:c r="H5" t="n">
        <x:v>131116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Wedding Fashion</x:v>
      </x:c>
      <x:c r="E2" t="n">
        <x:v>87118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Wedding Fashion</x:v>
      </x:c>
      <x:c r="E3" t="n">
        <x:v>71544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Wedding Fashion</x:v>
      </x:c>
      <x:c r="E4" t="n">
        <x:v>82103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Wedding Fashion</x:v>
      </x:c>
      <x:c r="E5" t="n">
        <x:v>76996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7.52</x:v>
      </x:c>
      <x:c r="C2" t="n">
        <x:v>99.8</x:v>
      </x:c>
      <x:c r="D2" t="n">
        <x:v>87.16</x:v>
      </x:c>
      <x:c r="E2" t="n">
        <x:v>109</x:v>
      </x:c>
      <x:c r="F2" t="str">
        <x:v>Medium</x:v>
      </x:c>
      <x:c r="G2" t="str">
        <x:v>Economic conditions for demand adjustment</x:v>
      </x:c>
    </x:row>
    <x:row r="3">
      <x:c r="A3" t="n">
        <x:v>45323</x:v>
      </x:c>
      <x:c r="B3" t="n">
        <x:v>7.98</x:v>
      </x:c>
      <x:c r="C3" t="n">
        <x:v>99.8</x:v>
      </x:c>
      <x:c r="D3" t="n">
        <x:v>86.37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8.01</x:v>
      </x:c>
      <x:c r="C4" t="n">
        <x:v>101.07</x:v>
      </x:c>
      <x:c r="D4" t="n">
        <x:v>86.7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8.51</x:v>
      </x:c>
      <x:c r="C5" t="n">
        <x:v>100.67</x:v>
      </x:c>
      <x:c r="D5" t="n">
        <x:v>85.74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</x:v>
      </x:c>
      <x:c r="C6" t="n">
        <x:v>100.72</x:v>
      </x:c>
      <x:c r="D6" t="n">
        <x:v>85.42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8.55</x:v>
      </x:c>
      <x:c r="C7" t="n">
        <x:v>101.39</x:v>
      </x:c>
      <x:c r="D7" t="n">
        <x:v>85.88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8.89</x:v>
      </x:c>
      <x:c r="C8" t="n">
        <x:v>101.37</x:v>
      </x:c>
      <x:c r="D8" t="n">
        <x:v>85.3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8.62</x:v>
      </x:c>
      <x:c r="C9" t="n">
        <x:v>102.08</x:v>
      </x:c>
      <x:c r="D9" t="n">
        <x:v>85.97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7.82</x:v>
      </x:c>
      <x:c r="C10" t="n">
        <x:v>103.11</x:v>
      </x:c>
      <x:c r="D10" t="n">
        <x:v>87.63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7.64</x:v>
      </x:c>
      <x:c r="C11" t="n">
        <x:v>103.5</x:v>
      </x:c>
      <x:c r="D11" t="n">
        <x:v>88.06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7.24</x:v>
      </x:c>
      <x:c r="C12" t="n">
        <x:v>102.18</x:v>
      </x:c>
      <x:c r="D12" t="n">
        <x:v>88.35</x:v>
      </x:c>
      <x:c r="E12" t="n">
        <x:v>113</x:v>
      </x:c>
      <x:c r="F12" t="str">
        <x:v>Low</x:v>
      </x:c>
      <x:c r="G12" t="str">
        <x:v>Economic conditions for demand adjustment</x:v>
      </x:c>
    </x:row>
    <x:row r="13">
      <x:c r="A13" t="n">
        <x:v>45627</x:v>
      </x:c>
      <x:c r="B13" t="n">
        <x:v>7.01</x:v>
      </x:c>
      <x:c r="C13" t="n">
        <x:v>103.99</x:v>
      </x:c>
      <x:c r="D13" t="n">
        <x:v>89.28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6.48</x:v>
      </x:c>
      <x:c r="C14" t="n">
        <x:v>103.29</x:v>
      </x:c>
      <x:c r="D14" t="n">
        <x:v>89.97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6.12</x:v>
      </x:c>
      <x:c r="C15" t="n">
        <x:v>103.98</x:v>
      </x:c>
      <x:c r="D15" t="n">
        <x:v>90.78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6.54</x:v>
      </x:c>
      <x:c r="C16" t="n">
        <x:v>104.9</x:v>
      </x:c>
      <x:c r="D16" t="n">
        <x:v>90.36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6.48</x:v>
      </x:c>
      <x:c r="C17" t="n">
        <x:v>105.35</x:v>
      </x:c>
      <x:c r="D17" t="n">
        <x:v>90.6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6.61</x:v>
      </x:c>
      <x:c r="C18" t="n">
        <x:v>105.39</x:v>
      </x:c>
      <x:c r="D18" t="n">
        <x:v>90.38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6.81</x:v>
      </x:c>
      <x:c r="C19" t="n">
        <x:v>104.34</x:v>
      </x:c>
      <x:c r="D19" t="n">
        <x:v>89.72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3</x:v>
      </x:c>
      <x:c r="E2" t="n">
        <x:v>7</x:v>
      </x:c>
      <x:c r="F2" t="n">
        <x:v>5</x:v>
      </x:c>
      <x:c r="G2" t="n">
        <x:v>4</x:v>
      </x:c>
      <x:c r="H2" t="n">
        <x:v>19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2</x:v>
      </x:c>
      <x:c r="E3" t="n">
        <x:v>10</x:v>
      </x:c>
      <x:c r="F3" t="n">
        <x:v>7</x:v>
      </x:c>
      <x:c r="G3" t="n">
        <x:v>4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6</x:v>
      </x:c>
      <x:c r="E4" t="n">
        <x:v>7</x:v>
      </x:c>
      <x:c r="F4" t="n">
        <x:v>3</x:v>
      </x:c>
      <x:c r="G4" t="n">
        <x:v>1</x:v>
      </x:c>
      <x:c r="H4" t="n">
        <x:v>17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4</x:v>
      </x:c>
      <x:c r="E5" t="n">
        <x:v>11</x:v>
      </x:c>
      <x:c r="F5" t="n">
        <x:v>9</x:v>
      </x:c>
      <x:c r="G5" t="n">
        <x:v>5</x:v>
      </x:c>
      <x:c r="H5" t="n">
        <x:v>29</x:v>
      </x:c>
      <x:c r="I5" t="str">
        <x:v>Yes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79</x:v>
      </x:c>
      <x:c r="C2" t="n">
        <x:v>78</x:v>
      </x:c>
      <x:c r="D2" t="n">
        <x:f>C2-B2</x:f>
        <x:v>-1</x:v>
      </x:c>
      <x:c r="E2" t="n">
        <x:f>ABS(D2)</x:f>
        <x:v>1</x:v>
      </x:c>
      <x:c r="F2" s="22" t="n">
        <x:f>IFERROR(E2/C2,0)</x:f>
        <x:v>0.01282051282051282</x:v>
      </x:c>
      <x:c r="G2" t="str">
        <x:v>Formula columns should calculate error and accuracy</x:v>
      </x:c>
    </x:row>
    <x:row r="3">
      <x:c r="A3" t="n">
        <x:v>45505</x:v>
      </x:c>
      <x:c r="B3" t="n">
        <x:v>83</x:v>
      </x:c>
      <x:c r="C3" t="n">
        <x:v>72</x:v>
      </x:c>
      <x:c r="D3" t="n">
        <x:f>C3-B3</x:f>
        <x:v>-11</x:v>
      </x:c>
      <x:c r="E3" t="n">
        <x:f>ABS(D3)</x:f>
        <x:v>11</x:v>
      </x:c>
      <x:c r="F3" s="22" t="n">
        <x:f>IFERROR(E3/C3,0)</x:f>
        <x:v>0.1527777777777778</x:v>
      </x:c>
      <x:c r="G3" t="str">
        <x:v>Formula columns should calculate error and accuracy</x:v>
      </x:c>
    </x:row>
    <x:row r="4">
      <x:c r="A4" t="n">
        <x:v>45536</x:v>
      </x:c>
      <x:c r="B4" t="n">
        <x:v>80</x:v>
      </x:c>
      <x:c r="C4" t="n">
        <x:v>68</x:v>
      </x:c>
      <x:c r="D4" t="n">
        <x:f>C4-B4</x:f>
        <x:v>-12</x:v>
      </x:c>
      <x:c r="E4" t="n">
        <x:f>ABS(D4)</x:f>
        <x:v>12</x:v>
      </x:c>
      <x:c r="F4" s="22" t="n">
        <x:f>IFERROR(E4/C4,0)</x:f>
        <x:v>0.17647058823529413</x:v>
      </x:c>
      <x:c r="G4" t="str">
        <x:v>Formula columns should calculate error and accuracy</x:v>
      </x:c>
    </x:row>
    <x:row r="5">
      <x:c r="A5" t="n">
        <x:v>45566</x:v>
      </x:c>
      <x:c r="B5" t="n">
        <x:v>84</x:v>
      </x:c>
      <x:c r="C5" t="n">
        <x:v>86</x:v>
      </x:c>
      <x:c r="D5" t="n">
        <x:f>C5-B5</x:f>
        <x:v>2</x:v>
      </x:c>
      <x:c r="E5" t="n">
        <x:f>ABS(D5)</x:f>
        <x:v>2</x:v>
      </x:c>
      <x:c r="F5" s="22" t="n">
        <x:f>IFERROR(E5/C5,0)</x:f>
        <x:v>0.023255813953488372</x:v>
      </x:c>
      <x:c r="G5" t="str">
        <x:v>Formula columns should calculate error and accuracy</x:v>
      </x:c>
    </x:row>
    <x:row r="6">
      <x:c r="A6" t="n">
        <x:v>45597</x:v>
      </x:c>
      <x:c r="B6" t="n">
        <x:v>80</x:v>
      </x:c>
      <x:c r="C6" t="n">
        <x:v>92</x:v>
      </x:c>
      <x:c r="D6" t="n">
        <x:f>C6-B6</x:f>
        <x:v>12</x:v>
      </x:c>
      <x:c r="E6" t="n">
        <x:f>ABS(D6)</x:f>
        <x:v>12</x:v>
      </x:c>
      <x:c r="F6" s="22" t="n">
        <x:f>IFERROR(E6/C6,0)</x:f>
        <x:v>0.13043478260869565</x:v>
      </x:c>
      <x:c r="G6" t="str">
        <x:v>Formula columns should calculate error and accuracy</x:v>
      </x:c>
    </x:row>
    <x:row r="7">
      <x:c r="A7" t="n">
        <x:v>45627</x:v>
      </x:c>
      <x:c r="B7" t="n">
        <x:v>89</x:v>
      </x:c>
      <x:c r="C7" t="n">
        <x:v>94</x:v>
      </x:c>
      <x:c r="D7" t="n">
        <x:f>C7-B7</x:f>
        <x:v>5</x:v>
      </x:c>
      <x:c r="E7" t="n">
        <x:f>ABS(D7)</x:f>
        <x:v>5</x:v>
      </x:c>
      <x:c r="F7" s="22" t="n">
        <x:f>IFERROR(E7/C7,0)</x:f>
        <x:v>0.05319148936170213</x:v>
      </x:c>
      <x:c r="G7" t="str">
        <x:v>Formula columns should calculate error and accuracy</x:v>
      </x:c>
    </x:row>
    <x:row r="8">
      <x:c r="A8" t="n">
        <x:v>45658</x:v>
      </x:c>
      <x:c r="B8" t="n">
        <x:v>94</x:v>
      </x:c>
      <x:c r="C8" t="n">
        <x:v>82</x:v>
      </x:c>
      <x:c r="D8" t="n">
        <x:f>C8-B8</x:f>
        <x:v>-12</x:v>
      </x:c>
      <x:c r="E8" t="n">
        <x:f>ABS(D8)</x:f>
        <x:v>12</x:v>
      </x:c>
      <x:c r="F8" s="22" t="n">
        <x:f>IFERROR(E8/C8,0)</x:f>
        <x:v>0.14634146341463414</x:v>
      </x:c>
      <x:c r="G8" t="str">
        <x:v>Formula columns should calculate error and accuracy</x:v>
      </x:c>
    </x:row>
    <x:row r="9">
      <x:c r="A9" t="n">
        <x:v>45689</x:v>
      </x:c>
      <x:c r="B9" t="n">
        <x:v>91</x:v>
      </x:c>
      <x:c r="C9" t="n">
        <x:v>106</x:v>
      </x:c>
      <x:c r="D9" t="n">
        <x:f>C9-B9</x:f>
        <x:v>15</x:v>
      </x:c>
      <x:c r="E9" t="n">
        <x:f>ABS(D9)</x:f>
        <x:v>15</x:v>
      </x:c>
      <x:c r="F9" s="22" t="n">
        <x:f>IFERROR(E9/C9,0)</x:f>
        <x:v>0.14150943396226415</x:v>
      </x:c>
      <x:c r="G9" t="str">
        <x:v>Formula columns should calculate error and accuracy</x:v>
      </x:c>
    </x:row>
    <x:row r="10">
      <x:c r="A10" t="n">
        <x:v>45717</x:v>
      </x:c>
      <x:c r="B10" t="n">
        <x:v>99</x:v>
      </x:c>
      <x:c r="C10" t="n">
        <x:v>102</x:v>
      </x:c>
      <x:c r="D10" t="n">
        <x:f>C10-B10</x:f>
        <x:v>3</x:v>
      </x:c>
      <x:c r="E10" t="n">
        <x:f>ABS(D10)</x:f>
        <x:v>3</x:v>
      </x:c>
      <x:c r="F10" s="22" t="n">
        <x:f>IFERROR(E10/C10,0)</x:f>
        <x:v>0.029411764705882353</x:v>
      </x:c>
      <x:c r="G10" t="str">
        <x:v>Formula columns should calculate error and accuracy</x:v>
      </x:c>
    </x:row>
    <x:row r="11">
      <x:c r="A11" t="n">
        <x:v>45748</x:v>
      </x:c>
      <x:c r="B11" t="n">
        <x:v>91</x:v>
      </x:c>
      <x:c r="C11" t="n">
        <x:v>81</x:v>
      </x:c>
      <x:c r="D11" t="n">
        <x:f>C11-B11</x:f>
        <x:v>-10</x:v>
      </x:c>
      <x:c r="E11" t="n">
        <x:f>ABS(D11)</x:f>
        <x:v>10</x:v>
      </x:c>
      <x:c r="F11" s="22" t="n">
        <x:f>IFERROR(E11/C11,0)</x:f>
        <x:v>0.12345679012345678</x:v>
      </x:c>
      <x:c r="G11" t="str">
        <x:v>Formula columns should calculate error and accuracy</x:v>
      </x:c>
    </x:row>
    <x:row r="12">
      <x:c r="A12" t="n">
        <x:v>45778</x:v>
      </x:c>
      <x:c r="B12" t="n">
        <x:v>104</x:v>
      </x:c>
      <x:c r="C12" t="n">
        <x:v>95</x:v>
      </x:c>
      <x:c r="D12" t="n">
        <x:f>C12-B12</x:f>
        <x:v>-9</x:v>
      </x:c>
      <x:c r="E12" t="n">
        <x:f>ABS(D12)</x:f>
        <x:v>9</x:v>
      </x:c>
      <x:c r="F12" s="22" t="n">
        <x:f>IFERROR(E12/C12,0)</x:f>
        <x:v>0.09473684210526316</x:v>
      </x:c>
      <x:c r="G12" t="str">
        <x:v>Formula columns should calculate error and accuracy</x:v>
      </x:c>
    </x:row>
    <x:row r="13">
      <x:c r="A13" t="n">
        <x:v>45809</x:v>
      </x:c>
      <x:c r="B13" t="n">
        <x:v>106</x:v>
      </x:c>
      <x:c r="C13" t="n">
        <x:v>109</x:v>
      </x:c>
      <x:c r="D13" t="n">
        <x:f>C13-B13</x:f>
        <x:v>3</x:v>
      </x:c>
      <x:c r="E13" t="n">
        <x:f>ABS(D13)</x:f>
        <x:v>3</x:v>
      </x:c>
      <x:c r="F13" s="22" t="n">
        <x:f>IFERROR(E13/C13,0)</x:f>
        <x:v>0.027522935779816515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79</x:v>
      </x:c>
      <x:c r="E2" t="n">
        <x:v>74</x:v>
      </x:c>
      <x:c r="F2" t="str">
        <x:v>Medium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69</x:v>
      </x:c>
      <x:c r="E3" t="n">
        <x:v>47</x:v>
      </x:c>
      <x:c r="F3" t="str">
        <x:v>Medium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88</x:v>
      </x:c>
      <x:c r="E4" t="n">
        <x:v>62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85</x:v>
      </x:c>
      <x:c r="E5" t="n">
        <x:v>61</x:v>
      </x:c>
      <x:c r="F5" t="str">
        <x:v>High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79</x:v>
      </x:c>
      <x:c r="E6" t="n">
        <x:v>50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86</x:v>
      </x:c>
      <x:c r="E7" t="n">
        <x:v>57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82</x:v>
      </x:c>
      <x:c r="E8" t="n">
        <x:v>54</x:v>
      </x:c>
      <x:c r="F8" t="str">
        <x:v>High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87</x:v>
      </x:c>
      <x:c r="E9" t="n">
        <x:v>74</x:v>
      </x:c>
      <x:c r="F9" t="str">
        <x:v>High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1</x:v>
      </x:c>
      <x:c r="F2" t="n">
        <x:v>97136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Weekly</x:v>
      </x:c>
      <x:c r="E3" t="n">
        <x:v>2</x:v>
      </x:c>
      <x:c r="F3" t="n">
        <x:v>124092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Monthly</x:v>
      </x:c>
      <x:c r="E4" t="n">
        <x:v>4</x:v>
      </x:c>
      <x:c r="F4" t="n">
        <x:v>378053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Festival-based</x:v>
      </x:c>
      <x:c r="E5" t="n">
        <x:v>1</x:v>
      </x:c>
      <x:c r="F5" t="n">
        <x:v>82412</x:v>
      </x:c>
      <x:c r="G5" t="str">
        <x:v>Demand rises before Ramadan/Eid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Monthly</x:v>
      </x:c>
      <x:c r="E6" t="n">
        <x:v>5</x:v>
      </x:c>
      <x:c r="F6" t="n">
        <x:v>408663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256</x:v>
      </x:c>
      <x:c r="F2" t="n">
        <x:v>96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123</x:v>
      </x:c>
      <x:c r="F3" t="n">
        <x:v>79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68</x:v>
      </x:c>
      <x:c r="F4" t="n">
        <x:v>72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6</x:v>
      </x:c>
      <x:c r="F5" t="n">
        <x:v>65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Luxury Bridal Dress Gulzar e Nikah Wedding Fashion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Luxury Bridal Dress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Wedding Fashion competitor pricing promotions Bangladesh Gulzar e Nikah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Luxury Bridal Dress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74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73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75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74</x:v>
      </x:c>
      <x:c r="F5" t="str">
        <x:v>Qualitative input for expert-opinion forecasting</x:v>
      </x:c>
    </x:row>
    <x:row r="6">
      <x:c r="A6" t="str">
        <x:v>Senior Buyer</x:v>
      </x:c>
      <x:c r="B6" t="str">
        <x:v>Expert</x:v>
      </x:c>
      <x:c r="C6" t="n">
        <x:v>45580</x:v>
      </x:c>
      <x:c r="D6" t="str">
        <x:v>No historical sales available; use analogous products</x:v>
      </x:c>
      <x:c r="E6" t="n">
        <x:v>75</x:v>
      </x:c>
      <x:c r="F6" t="str">
        <x:v>Cold-start qualitative scenario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reliable historical sales; app should use expert opinion and web data.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