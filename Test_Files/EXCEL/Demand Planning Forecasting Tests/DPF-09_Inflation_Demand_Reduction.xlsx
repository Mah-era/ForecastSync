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fcac5dd76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09412c3bbcce45cc"/>
    <x:sheet xmlns:r="http://schemas.openxmlformats.org/officeDocument/2006/relationships" name="Historical_Sales" sheetId="2" r:id="R444b78cae89d45c7"/>
    <x:sheet xmlns:r="http://schemas.openxmlformats.org/officeDocument/2006/relationships" name="Inventory" sheetId="3" r:id="Rce6480b6331d418a"/>
    <x:sheet xmlns:r="http://schemas.openxmlformats.org/officeDocument/2006/relationships" name="Promotions" sheetId="4" r:id="Redd48824f107453f"/>
    <x:sheet xmlns:r="http://schemas.openxmlformats.org/officeDocument/2006/relationships" name="Competitors" sheetId="5" r:id="Ra675fb92cea94c73"/>
    <x:sheet xmlns:r="http://schemas.openxmlformats.org/officeDocument/2006/relationships" name="Economic" sheetId="6" r:id="R0d5ce902973542c8"/>
    <x:sheet xmlns:r="http://schemas.openxmlformats.org/officeDocument/2006/relationships" name="Lead_Time" sheetId="7" r:id="R863b4456ad394c74"/>
    <x:sheet xmlns:r="http://schemas.openxmlformats.org/officeDocument/2006/relationships" name="Forecast_Actual" sheetId="8" r:id="R63867c5ccb05402c"/>
    <x:sheet xmlns:r="http://schemas.openxmlformats.org/officeDocument/2006/relationships" name="Regional_Demand_Map" sheetId="9" r:id="Re4136af8c6084ba9"/>
    <x:sheet xmlns:r="http://schemas.openxmlformats.org/officeDocument/2006/relationships" name="SCM_Flow_Map" sheetId="10" r:id="Rea7c544a04194783"/>
    <x:sheet xmlns:r="http://schemas.openxmlformats.org/officeDocument/2006/relationships" name="Customer_Patterns" sheetId="11" r:id="Rbb434289207d41b8"/>
    <x:sheet xmlns:r="http://schemas.openxmlformats.org/officeDocument/2006/relationships" name="Technology_Data" sheetId="12" r:id="R95122b9708be491b"/>
    <x:sheet xmlns:r="http://schemas.openxmlformats.org/officeDocument/2006/relationships" name="Web_Search_Seeds" sheetId="13" r:id="R2b8dd064a38b48ad"/>
    <x:sheet xmlns:r="http://schemas.openxmlformats.org/officeDocument/2006/relationships" name="Manual_Expert_Opinion" sheetId="14" r:id="R1ba9754e1db44355"/>
    <x:sheet xmlns:r="http://schemas.openxmlformats.org/officeDocument/2006/relationships" name="Data_Issues" sheetId="15" r:id="Rf90068caf2ed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6cce3e0ea47c2" /><Relationship Type="http://schemas.openxmlformats.org/officeDocument/2006/relationships/theme" Target="/xl/theme/theme1.xml" Id="Rd47c5604194d441e" /><Relationship Type="http://schemas.openxmlformats.org/officeDocument/2006/relationships/sharedStrings" Target="/xl/sharedStrings.xml" Id="R4b1d9942da8840b3" /><Relationship Type="http://schemas.openxmlformats.org/officeDocument/2006/relationships/worksheet" Target="/xl/worksheets/sheet1.xml" Id="R09412c3bbcce45cc" /><Relationship Type="http://schemas.openxmlformats.org/officeDocument/2006/relationships/worksheet" Target="/xl/worksheets/sheet2.xml" Id="R444b78cae89d45c7" /><Relationship Type="http://schemas.openxmlformats.org/officeDocument/2006/relationships/worksheet" Target="/xl/worksheets/sheet3.xml" Id="Rce6480b6331d418a" /><Relationship Type="http://schemas.openxmlformats.org/officeDocument/2006/relationships/worksheet" Target="/xl/worksheets/sheet4.xml" Id="Redd48824f107453f" /><Relationship Type="http://schemas.openxmlformats.org/officeDocument/2006/relationships/worksheet" Target="/xl/worksheets/sheet5.xml" Id="Ra675fb92cea94c73" /><Relationship Type="http://schemas.openxmlformats.org/officeDocument/2006/relationships/worksheet" Target="/xl/worksheets/sheet6.xml" Id="R0d5ce902973542c8" /><Relationship Type="http://schemas.openxmlformats.org/officeDocument/2006/relationships/worksheet" Target="/xl/worksheets/sheet7.xml" Id="R863b4456ad394c74" /><Relationship Type="http://schemas.openxmlformats.org/officeDocument/2006/relationships/worksheet" Target="/xl/worksheets/sheet8.xml" Id="R63867c5ccb05402c" /><Relationship Type="http://schemas.openxmlformats.org/officeDocument/2006/relationships/worksheet" Target="/xl/worksheets/sheet9.xml" Id="Re4136af8c6084ba9" /><Relationship Type="http://schemas.openxmlformats.org/officeDocument/2006/relationships/worksheet" Target="/xl/worksheets/sheet10.xml" Id="Rea7c544a04194783" /><Relationship Type="http://schemas.openxmlformats.org/officeDocument/2006/relationships/worksheet" Target="/xl/worksheets/sheet11.xml" Id="Rbb434289207d41b8" /><Relationship Type="http://schemas.openxmlformats.org/officeDocument/2006/relationships/worksheet" Target="/xl/worksheets/sheet12.xml" Id="R95122b9708be491b" /><Relationship Type="http://schemas.openxmlformats.org/officeDocument/2006/relationships/worksheet" Target="/xl/worksheets/sheet13.xml" Id="R2b8dd064a38b48ad" /><Relationship Type="http://schemas.openxmlformats.org/officeDocument/2006/relationships/worksheet" Target="/xl/worksheets/sheet14.xml" Id="R1ba9754e1db44355" /><Relationship Type="http://schemas.openxmlformats.org/officeDocument/2006/relationships/worksheet" Target="/xl/worksheets/sheet15.xml" Id="Rf90068caf2ed46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DPF-09</x:v>
      </x:c>
    </x:row>
    <x:row r="3">
      <x:c r="A3" t="str">
        <x:v>Scenario Title</x:v>
      </x:c>
      <x:c r="B3" t="str">
        <x:v>Inflation Demand Reduction</x:v>
      </x:c>
    </x:row>
    <x:row r="4">
      <x:c r="A4" t="str">
        <x:v>Purpose</x:v>
      </x:c>
      <x:c r="B4" t="str">
        <x:v>Test economic condition adjustment.</x:v>
      </x:c>
    </x:row>
    <x:row r="5">
      <x:c r="A5" t="str">
        <x:v>Product Name</x:v>
      </x:c>
      <x:c r="B5" t="str">
        <x:v>Cooking Oil 5L</x:v>
      </x:c>
    </x:row>
    <x:row r="6">
      <x:c r="A6" t="str">
        <x:v>Category</x:v>
      </x:c>
      <x:c r="B6" t="str">
        <x:v>Grocery</x:v>
      </x:c>
    </x:row>
    <x:row r="7">
      <x:c r="A7" t="str">
        <x:v>Brand</x:v>
      </x:c>
      <x:c r="B7" t="str">
        <x:v>Fresh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Economic Conditions, Historical Sales, Inventory</x:v>
      </x:c>
    </x:row>
    <x:row r="11">
      <x:c r="A11" t="str">
        <x:v>Recommended Inputs To Tick</x:v>
      </x:c>
      <x:c r="B11" t="str">
        <x:v>Economic Conditions, Historical Sales Data, Online Web Search Data</x:v>
      </x:c>
    </x:row>
    <x:row r="12">
      <x:c r="A12" t="str">
        <x:v>Recommended Outputs To Tick</x:v>
      </x:c>
      <x:c r="B12" t="str">
        <x:v>Economic Condition Impact, Demand Forecast, Final SCM Recommendation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Cooking Oil 5L</x:v>
      </x:c>
      <x:c r="C2" t="str">
        <x:v>Grocery</x:v>
      </x:c>
      <x:c r="D2" t="str">
        <x:v>Fresh</x:v>
      </x:c>
      <x:c r="E2" t="str">
        <x:v>Dhaka</x:v>
      </x:c>
      <x:c r="F2" t="str">
        <x:v>Retail</x:v>
      </x:c>
      <x:c r="G2" t="n">
        <x:v>1518</x:v>
      </x:c>
      <x:c r="H2" t="n">
        <x:v>900</x:v>
      </x:c>
      <x:c r="I2" t="n">
        <x:v>1366200</x:v>
      </x:c>
      <x:c r="J2" t="str"/>
    </x:row>
    <x:row r="3">
      <x:c r="A3" t="n">
        <x:v>45323</x:v>
      </x:c>
      <x:c r="B3" t="str">
        <x:v>Cooking Oil 5L</x:v>
      </x:c>
      <x:c r="C3" t="str">
        <x:v>Grocery</x:v>
      </x:c>
      <x:c r="D3" t="str">
        <x:v>Fresh</x:v>
      </x:c>
      <x:c r="E3" t="str">
        <x:v>Chattogram</x:v>
      </x:c>
      <x:c r="F3" t="str">
        <x:v>Online</x:v>
      </x:c>
      <x:c r="G3" t="n">
        <x:v>1753</x:v>
      </x:c>
      <x:c r="H3" t="n">
        <x:v>900</x:v>
      </x:c>
      <x:c r="I3" t="n">
        <x:v>1577700</x:v>
      </x:c>
      <x:c r="J3" t="str"/>
    </x:row>
    <x:row r="4">
      <x:c r="A4" t="n">
        <x:v>45352</x:v>
      </x:c>
      <x:c r="B4" t="str">
        <x:v>Cooking Oil 5L</x:v>
      </x:c>
      <x:c r="C4" t="str">
        <x:v>Grocery</x:v>
      </x:c>
      <x:c r="D4" t="str">
        <x:v>Fresh</x:v>
      </x:c>
      <x:c r="E4" t="str">
        <x:v>Sylhet</x:v>
      </x:c>
      <x:c r="F4" t="str">
        <x:v>Wholesale</x:v>
      </x:c>
      <x:c r="G4" t="n">
        <x:v>1726</x:v>
      </x:c>
      <x:c r="H4" t="n">
        <x:v>900</x:v>
      </x:c>
      <x:c r="I4" t="n">
        <x:v>1553400</x:v>
      </x:c>
      <x:c r="J4" t="str"/>
    </x:row>
    <x:row r="5">
      <x:c r="A5" t="n">
        <x:v>45383</x:v>
      </x:c>
      <x:c r="B5" t="str">
        <x:v>Cooking Oil 5L</x:v>
      </x:c>
      <x:c r="C5" t="str">
        <x:v>Grocery</x:v>
      </x:c>
      <x:c r="D5" t="str">
        <x:v>Fresh</x:v>
      </x:c>
      <x:c r="E5" t="str">
        <x:v>Rajshahi</x:v>
      </x:c>
      <x:c r="F5" t="str">
        <x:v>Modern Trade</x:v>
      </x:c>
      <x:c r="G5" t="n">
        <x:v>1527</x:v>
      </x:c>
      <x:c r="H5" t="n">
        <x:v>900</x:v>
      </x:c>
      <x:c r="I5" t="n">
        <x:v>1374300</x:v>
      </x:c>
      <x:c r="J5" t="str"/>
    </x:row>
    <x:row r="6">
      <x:c r="A6" t="n">
        <x:v>45413</x:v>
      </x:c>
      <x:c r="B6" t="str">
        <x:v>Cooking Oil 5L</x:v>
      </x:c>
      <x:c r="C6" t="str">
        <x:v>Grocery</x:v>
      </x:c>
      <x:c r="D6" t="str">
        <x:v>Fresh</x:v>
      </x:c>
      <x:c r="E6" t="str">
        <x:v>Khulna</x:v>
      </x:c>
      <x:c r="F6" t="str">
        <x:v>Retail</x:v>
      </x:c>
      <x:c r="G6" t="n">
        <x:v>1780</x:v>
      </x:c>
      <x:c r="H6" t="n">
        <x:v>900</x:v>
      </x:c>
      <x:c r="I6" t="n">
        <x:v>1602000</x:v>
      </x:c>
      <x:c r="J6" t="str"/>
    </x:row>
    <x:row r="7">
      <x:c r="A7" t="n">
        <x:v>45444</x:v>
      </x:c>
      <x:c r="B7" t="str">
        <x:v>Cooking Oil 5L</x:v>
      </x:c>
      <x:c r="C7" t="str">
        <x:v>Grocery</x:v>
      </x:c>
      <x:c r="D7" t="str">
        <x:v>Fresh</x:v>
      </x:c>
      <x:c r="E7" t="str">
        <x:v>Barishal</x:v>
      </x:c>
      <x:c r="F7" t="str">
        <x:v>Online</x:v>
      </x:c>
      <x:c r="G7" t="n">
        <x:v>1699</x:v>
      </x:c>
      <x:c r="H7" t="n">
        <x:v>900</x:v>
      </x:c>
      <x:c r="I7" t="n">
        <x:v>1529100</x:v>
      </x:c>
      <x:c r="J7" t="str"/>
    </x:row>
    <x:row r="8">
      <x:c r="A8" t="n">
        <x:v>45474</x:v>
      </x:c>
      <x:c r="B8" t="str">
        <x:v>Cooking Oil 5L</x:v>
      </x:c>
      <x:c r="C8" t="str">
        <x:v>Grocery</x:v>
      </x:c>
      <x:c r="D8" t="str">
        <x:v>Fresh</x:v>
      </x:c>
      <x:c r="E8" t="str">
        <x:v>Rangpur</x:v>
      </x:c>
      <x:c r="F8" t="str">
        <x:v>Wholesale</x:v>
      </x:c>
      <x:c r="G8" t="n">
        <x:v>1260</x:v>
      </x:c>
      <x:c r="H8" t="n">
        <x:v>900</x:v>
      </x:c>
      <x:c r="I8" t="n">
        <x:v>1134000</x:v>
      </x:c>
      <x:c r="J8" t="str">
        <x:v>Demand softened by inflation</x:v>
      </x:c>
    </x:row>
    <x:row r="9">
      <x:c r="A9" t="n">
        <x:v>45505</x:v>
      </x:c>
      <x:c r="B9" t="str">
        <x:v>Cooking Oil 5L</x:v>
      </x:c>
      <x:c r="C9" t="str">
        <x:v>Grocery</x:v>
      </x:c>
      <x:c r="D9" t="str">
        <x:v>Fresh</x:v>
      </x:c>
      <x:c r="E9" t="str">
        <x:v>Mymensingh</x:v>
      </x:c>
      <x:c r="F9" t="str">
        <x:v>Modern Trade</x:v>
      </x:c>
      <x:c r="G9" t="n">
        <x:v>1303</x:v>
      </x:c>
      <x:c r="H9" t="n">
        <x:v>900</x:v>
      </x:c>
      <x:c r="I9" t="n">
        <x:v>1172700</x:v>
      </x:c>
      <x:c r="J9" t="str">
        <x:v>Demand softened by inflation</x:v>
      </x:c>
    </x:row>
    <x:row r="10">
      <x:c r="A10" t="n">
        <x:v>45536</x:v>
      </x:c>
      <x:c r="B10" t="str">
        <x:v>Cooking Oil 5L</x:v>
      </x:c>
      <x:c r="C10" t="str">
        <x:v>Grocery</x:v>
      </x:c>
      <x:c r="D10" t="str">
        <x:v>Fresh</x:v>
      </x:c>
      <x:c r="E10" t="str">
        <x:v>Dhaka</x:v>
      </x:c>
      <x:c r="F10" t="str">
        <x:v>Retail</x:v>
      </x:c>
      <x:c r="G10" t="n">
        <x:v>1383</x:v>
      </x:c>
      <x:c r="H10" t="n">
        <x:v>900</x:v>
      </x:c>
      <x:c r="I10" t="n">
        <x:v>1244700</x:v>
      </x:c>
      <x:c r="J10" t="str">
        <x:v>Demand softened by inflation</x:v>
      </x:c>
    </x:row>
    <x:row r="11">
      <x:c r="A11" t="n">
        <x:v>45566</x:v>
      </x:c>
      <x:c r="B11" t="str">
        <x:v>Cooking Oil 5L</x:v>
      </x:c>
      <x:c r="C11" t="str">
        <x:v>Grocery</x:v>
      </x:c>
      <x:c r="D11" t="str">
        <x:v>Fresh</x:v>
      </x:c>
      <x:c r="E11" t="str">
        <x:v>Chattogram</x:v>
      </x:c>
      <x:c r="F11" t="str">
        <x:v>Online</x:v>
      </x:c>
      <x:c r="G11" t="n">
        <x:v>1609</x:v>
      </x:c>
      <x:c r="H11" t="n">
        <x:v>900</x:v>
      </x:c>
      <x:c r="I11" t="n">
        <x:v>1448100</x:v>
      </x:c>
      <x:c r="J11" t="str">
        <x:v>Demand softened by inflation</x:v>
      </x:c>
    </x:row>
    <x:row r="12">
      <x:c r="A12" t="n">
        <x:v>45597</x:v>
      </x:c>
      <x:c r="B12" t="str">
        <x:v>Cooking Oil 5L</x:v>
      </x:c>
      <x:c r="C12" t="str">
        <x:v>Grocery</x:v>
      </x:c>
      <x:c r="D12" t="str">
        <x:v>Fresh</x:v>
      </x:c>
      <x:c r="E12" t="str">
        <x:v>Sylhet</x:v>
      </x:c>
      <x:c r="F12" t="str">
        <x:v>Wholesale</x:v>
      </x:c>
      <x:c r="G12" t="n">
        <x:v>1526</x:v>
      </x:c>
      <x:c r="H12" t="n">
        <x:v>900</x:v>
      </x:c>
      <x:c r="I12" t="n">
        <x:v>1373400</x:v>
      </x:c>
      <x:c r="J12" t="str">
        <x:v>Demand softened by inflation</x:v>
      </x:c>
    </x:row>
    <x:row r="13">
      <x:c r="A13" t="n">
        <x:v>45627</x:v>
      </x:c>
      <x:c r="B13" t="str">
        <x:v>Cooking Oil 5L</x:v>
      </x:c>
      <x:c r="C13" t="str">
        <x:v>Grocery</x:v>
      </x:c>
      <x:c r="D13" t="str">
        <x:v>Fresh</x:v>
      </x:c>
      <x:c r="E13" t="str">
        <x:v>Rajshahi</x:v>
      </x:c>
      <x:c r="F13" t="str">
        <x:v>Modern Trade</x:v>
      </x:c>
      <x:c r="G13" t="n">
        <x:v>1612</x:v>
      </x:c>
      <x:c r="H13" t="n">
        <x:v>900</x:v>
      </x:c>
      <x:c r="I13" t="n">
        <x:v>1450800</x:v>
      </x:c>
      <x:c r="J13" t="str">
        <x:v>Demand softened by inflation</x:v>
      </x:c>
    </x:row>
    <x:row r="14">
      <x:c r="A14" t="n">
        <x:v>45658</x:v>
      </x:c>
      <x:c r="B14" t="str">
        <x:v>Cooking Oil 5L</x:v>
      </x:c>
      <x:c r="C14" t="str">
        <x:v>Grocery</x:v>
      </x:c>
      <x:c r="D14" t="str">
        <x:v>Fresh</x:v>
      </x:c>
      <x:c r="E14" t="str">
        <x:v>Khulna</x:v>
      </x:c>
      <x:c r="F14" t="str">
        <x:v>Retail</x:v>
      </x:c>
      <x:c r="G14" t="n">
        <x:v>1558</x:v>
      </x:c>
      <x:c r="H14" t="n">
        <x:v>900</x:v>
      </x:c>
      <x:c r="I14" t="n">
        <x:v>1402200</x:v>
      </x:c>
      <x:c r="J14" t="str">
        <x:v>Demand softened by inflation</x:v>
      </x:c>
    </x:row>
    <x:row r="15">
      <x:c r="A15" t="n">
        <x:v>45689</x:v>
      </x:c>
      <x:c r="B15" t="str">
        <x:v>Cooking Oil 5L</x:v>
      </x:c>
      <x:c r="C15" t="str">
        <x:v>Grocery</x:v>
      </x:c>
      <x:c r="D15" t="str">
        <x:v>Fresh</x:v>
      </x:c>
      <x:c r="E15" t="str">
        <x:v>Barishal</x:v>
      </x:c>
      <x:c r="F15" t="str">
        <x:v>Online</x:v>
      </x:c>
      <x:c r="G15" t="n">
        <x:v>1422</x:v>
      </x:c>
      <x:c r="H15" t="n">
        <x:v>900</x:v>
      </x:c>
      <x:c r="I15" t="n">
        <x:v>1279800</x:v>
      </x:c>
      <x:c r="J15" t="str">
        <x:v>Demand softened by inflation</x:v>
      </x:c>
    </x:row>
    <x:row r="16">
      <x:c r="A16" t="n">
        <x:v>45717</x:v>
      </x:c>
      <x:c r="B16" t="str">
        <x:v>Cooking Oil 5L</x:v>
      </x:c>
      <x:c r="C16" t="str">
        <x:v>Grocery</x:v>
      </x:c>
      <x:c r="D16" t="str">
        <x:v>Fresh</x:v>
      </x:c>
      <x:c r="E16" t="str">
        <x:v>Rangpur</x:v>
      </x:c>
      <x:c r="F16" t="str">
        <x:v>Wholesale</x:v>
      </x:c>
      <x:c r="G16" t="n">
        <x:v>1507</x:v>
      </x:c>
      <x:c r="H16" t="n">
        <x:v>900</x:v>
      </x:c>
      <x:c r="I16" t="n">
        <x:v>1356300</x:v>
      </x:c>
      <x:c r="J16" t="str">
        <x:v>Demand softened by inflation</x:v>
      </x:c>
    </x:row>
    <x:row r="17">
      <x:c r="A17" t="n">
        <x:v>45748</x:v>
      </x:c>
      <x:c r="B17" t="str">
        <x:v>Cooking Oil 5L</x:v>
      </x:c>
      <x:c r="C17" t="str">
        <x:v>Grocery</x:v>
      </x:c>
      <x:c r="D17" t="str">
        <x:v>Fresh</x:v>
      </x:c>
      <x:c r="E17" t="str">
        <x:v>Mymensingh</x:v>
      </x:c>
      <x:c r="F17" t="str">
        <x:v>Modern Trade</x:v>
      </x:c>
      <x:c r="G17" t="n">
        <x:v>1530</x:v>
      </x:c>
      <x:c r="H17" t="n">
        <x:v>900</x:v>
      </x:c>
      <x:c r="I17" t="n">
        <x:v>1377000</x:v>
      </x:c>
      <x:c r="J17" t="str">
        <x:v>Demand softened by inflation</x:v>
      </x:c>
    </x:row>
    <x:row r="18">
      <x:c r="A18" t="n">
        <x:v>45778</x:v>
      </x:c>
      <x:c r="B18" t="str">
        <x:v>Cooking Oil 5L</x:v>
      </x:c>
      <x:c r="C18" t="str">
        <x:v>Grocery</x:v>
      </x:c>
      <x:c r="D18" t="str">
        <x:v>Fresh</x:v>
      </x:c>
      <x:c r="E18" t="str">
        <x:v>Dhaka</x:v>
      </x:c>
      <x:c r="F18" t="str">
        <x:v>Retail</x:v>
      </x:c>
      <x:c r="G18" t="n">
        <x:v>1450</x:v>
      </x:c>
      <x:c r="H18" t="n">
        <x:v>900</x:v>
      </x:c>
      <x:c r="I18" t="n">
        <x:v>1305000</x:v>
      </x:c>
      <x:c r="J18" t="str">
        <x:v>Demand softened by inflation</x:v>
      </x:c>
    </x:row>
    <x:row r="19">
      <x:c r="A19" t="n">
        <x:v>45809</x:v>
      </x:c>
      <x:c r="B19" t="str">
        <x:v>Cooking Oil 5L</x:v>
      </x:c>
      <x:c r="C19" t="str">
        <x:v>Grocery</x:v>
      </x:c>
      <x:c r="D19" t="str">
        <x:v>Fresh</x:v>
      </x:c>
      <x:c r="E19" t="str">
        <x:v>Chattogram</x:v>
      </x:c>
      <x:c r="F19" t="str">
        <x:v>Online</x:v>
      </x:c>
      <x:c r="G19" t="n">
        <x:v>1615</x:v>
      </x:c>
      <x:c r="H19" t="n">
        <x:v>900</x:v>
      </x:c>
      <x:c r="I19" t="n">
        <x:v>1453500</x:v>
      </x:c>
      <x:c r="J19" t="str">
        <x:v>Demand softened by inflation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FRE-DPF-09-01</x:v>
      </x:c>
      <x:c r="B2" t="str">
        <x:v>Cooking Oil 5L</x:v>
      </x:c>
      <x:c r="C2" t="str">
        <x:v>Grocery</x:v>
      </x:c>
      <x:c r="D2" t="str">
        <x:v>Fresh</x:v>
      </x:c>
      <x:c r="E2" t="str">
        <x:v>Dhaka</x:v>
      </x:c>
      <x:c r="F2" t="str">
        <x:v>Dhaka DC</x:v>
      </x:c>
      <x:c r="G2" t="n">
        <x:v>3157</x:v>
      </x:c>
      <x:c r="H2" t="n">
        <x:v>566</x:v>
      </x:c>
      <x:c r="I2" t="n">
        <x:v>1161</x:v>
      </x:c>
      <x:c r="J2" t="n">
        <x:v>573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FRE-DPF-09-02</x:v>
      </x:c>
      <x:c r="B3" t="str">
        <x:v>Cooking Oil 5L</x:v>
      </x:c>
      <x:c r="C3" t="str">
        <x:v>Grocery</x:v>
      </x:c>
      <x:c r="D3" t="str">
        <x:v>Fresh</x:v>
      </x:c>
      <x:c r="E3" t="str">
        <x:v>Chattogram</x:v>
      </x:c>
      <x:c r="F3" t="str">
        <x:v>Chattogram DC</x:v>
      </x:c>
      <x:c r="G3" t="n">
        <x:v>2591</x:v>
      </x:c>
      <x:c r="H3" t="n">
        <x:v>445</x:v>
      </x:c>
      <x:c r="I3" t="n">
        <x:v>1170</x:v>
      </x:c>
      <x:c r="J3" t="n">
        <x:v>208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FRE-DPF-09-03</x:v>
      </x:c>
      <x:c r="B4" t="str">
        <x:v>Cooking Oil 5L</x:v>
      </x:c>
      <x:c r="C4" t="str">
        <x:v>Grocery</x:v>
      </x:c>
      <x:c r="D4" t="str">
        <x:v>Fresh</x:v>
      </x:c>
      <x:c r="E4" t="str">
        <x:v>Sylhet</x:v>
      </x:c>
      <x:c r="F4" t="str">
        <x:v>Sylhet DC</x:v>
      </x:c>
      <x:c r="G4" t="n">
        <x:v>1288</x:v>
      </x:c>
      <x:c r="H4" t="n">
        <x:v>558</x:v>
      </x:c>
      <x:c r="I4" t="n">
        <x:v>1315</x:v>
      </x:c>
      <x:c r="J4" t="n">
        <x:v>207</x:v>
      </x:c>
      <x:c r="K4" t="n">
        <x:v>120</x:v>
      </x:c>
      <x:c r="L4" t="n">
        <x:v>45674</x:v>
      </x:c>
      <x:c r="M4" t="str">
        <x:v>Reorder Needed</x:v>
      </x:c>
    </x:row>
    <x:row r="5">
      <x:c r="A5" t="str">
        <x:v>FRE-DPF-09-04</x:v>
      </x:c>
      <x:c r="B5" t="str">
        <x:v>Cooking Oil 5L</x:v>
      </x:c>
      <x:c r="C5" t="str">
        <x:v>Grocery</x:v>
      </x:c>
      <x:c r="D5" t="str">
        <x:v>Fresh</x:v>
      </x:c>
      <x:c r="E5" t="str">
        <x:v>Rajshahi</x:v>
      </x:c>
      <x:c r="F5" t="str">
        <x:v>Rajshahi DC</x:v>
      </x:c>
      <x:c r="G5" t="n">
        <x:v>2073</x:v>
      </x:c>
      <x:c r="H5" t="n">
        <x:v>623</x:v>
      </x:c>
      <x:c r="I5" t="n">
        <x:v>1210</x:v>
      </x:c>
      <x:c r="J5" t="n">
        <x:v>611</x:v>
      </x:c>
      <x:c r="K5" t="n">
        <x:v>120</x:v>
      </x:c>
      <x:c r="L5" t="n">
        <x:v>45675</x:v>
      </x:c>
      <x:c r="M5" t="str">
        <x:v>OK</x:v>
      </x:c>
    </x:row>
    <x:row r="6">
      <x:c r="A6" t="str">
        <x:v>FRE-DPF-09-05</x:v>
      </x:c>
      <x:c r="B6" t="str">
        <x:v>Cooking Oil 5L</x:v>
      </x:c>
      <x:c r="C6" t="str">
        <x:v>Grocery</x:v>
      </x:c>
      <x:c r="D6" t="str">
        <x:v>Fresh</x:v>
      </x:c>
      <x:c r="E6" t="str">
        <x:v>Khulna</x:v>
      </x:c>
      <x:c r="F6" t="str">
        <x:v>Khulna DC</x:v>
      </x:c>
      <x:c r="G6" t="n">
        <x:v>1070</x:v>
      </x:c>
      <x:c r="H6" t="n">
        <x:v>585</x:v>
      </x:c>
      <x:c r="I6" t="n">
        <x:v>1307</x:v>
      </x:c>
      <x:c r="J6" t="n">
        <x:v>619</x:v>
      </x:c>
      <x:c r="K6" t="n">
        <x:v>120</x:v>
      </x:c>
      <x:c r="L6" t="n">
        <x:v>45676</x:v>
      </x:c>
      <x:c r="M6" t="str">
        <x:v>Reorder Needed</x:v>
      </x:c>
    </x:row>
    <x:row r="7">
      <x:c r="A7" t="str">
        <x:v>FRE-DPF-09-06</x:v>
      </x:c>
      <x:c r="B7" t="str">
        <x:v>Cooking Oil 5L</x:v>
      </x:c>
      <x:c r="C7" t="str">
        <x:v>Grocery</x:v>
      </x:c>
      <x:c r="D7" t="str">
        <x:v>Fresh</x:v>
      </x:c>
      <x:c r="E7" t="str">
        <x:v>Barishal</x:v>
      </x:c>
      <x:c r="F7" t="str">
        <x:v>Barishal DC</x:v>
      </x:c>
      <x:c r="G7" t="n">
        <x:v>2468</x:v>
      </x:c>
      <x:c r="H7" t="n">
        <x:v>547</x:v>
      </x:c>
      <x:c r="I7" t="n">
        <x:v>1257</x:v>
      </x:c>
      <x:c r="J7" t="n">
        <x:v>425</x:v>
      </x:c>
      <x:c r="K7" t="n">
        <x:v>120</x:v>
      </x:c>
      <x:c r="L7" t="n">
        <x:v>45677</x:v>
      </x:c>
      <x:c r="M7" t="str">
        <x:v>OK</x:v>
      </x:c>
    </x:row>
    <x:row r="8">
      <x:c r="A8" t="str">
        <x:v>FRE-DPF-09-07</x:v>
      </x:c>
      <x:c r="B8" t="str">
        <x:v>Cooking Oil 5L</x:v>
      </x:c>
      <x:c r="C8" t="str">
        <x:v>Grocery</x:v>
      </x:c>
      <x:c r="D8" t="str">
        <x:v>Fresh</x:v>
      </x:c>
      <x:c r="E8" t="str">
        <x:v>Rangpur</x:v>
      </x:c>
      <x:c r="F8" t="str">
        <x:v>Rangpur DC</x:v>
      </x:c>
      <x:c r="G8" t="n">
        <x:v>3695</x:v>
      </x:c>
      <x:c r="H8" t="n">
        <x:v>510</x:v>
      </x:c>
      <x:c r="I8" t="n">
        <x:v>1075</x:v>
      </x:c>
      <x:c r="J8" t="n">
        <x:v>509</x:v>
      </x:c>
      <x:c r="K8" t="n">
        <x:v>120</x:v>
      </x:c>
      <x:c r="L8" t="n">
        <x:v>45678</x:v>
      </x:c>
      <x:c r="M8" t="str">
        <x:v>Overstock Risk</x:v>
      </x:c>
    </x:row>
    <x:row r="9">
      <x:c r="A9" t="str">
        <x:v>FRE-DPF-09-08</x:v>
      </x:c>
      <x:c r="B9" t="str">
        <x:v>Cooking Oil 5L</x:v>
      </x:c>
      <x:c r="C9" t="str">
        <x:v>Grocery</x:v>
      </x:c>
      <x:c r="D9" t="str">
        <x:v>Fresh</x:v>
      </x:c>
      <x:c r="E9" t="str">
        <x:v>Mymensingh</x:v>
      </x:c>
      <x:c r="F9" t="str">
        <x:v>Mymensingh DC</x:v>
      </x:c>
      <x:c r="G9" t="n">
        <x:v>1866</x:v>
      </x:c>
      <x:c r="H9" t="n">
        <x:v>642</x:v>
      </x:c>
      <x:c r="I9" t="n">
        <x:v>1403</x:v>
      </x:c>
      <x:c r="J9" t="n">
        <x:v>499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20.8</x:v>
      </x:c>
      <x:c r="G2" t="n">
        <x:v>17.7</x:v>
      </x:c>
      <x:c r="H2" t="n">
        <x:v>73990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27.8</x:v>
      </x:c>
      <x:c r="G3" t="n">
        <x:v>31.7</x:v>
      </x:c>
      <x:c r="H3" t="n">
        <x:v>85758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26.7</x:v>
      </x:c>
      <x:c r="G4" t="n">
        <x:v>24.8</x:v>
      </x:c>
      <x:c r="H4" t="n">
        <x:v>132585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16.3</x:v>
      </x:c>
      <x:c r="G5" t="n">
        <x:v>18.6</x:v>
      </x:c>
      <x:c r="H5" t="n">
        <x:v>75679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Grocery</x:v>
      </x:c>
      <x:c r="E2" t="n">
        <x:v>989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Grocery</x:v>
      </x:c>
      <x:c r="E3" t="n">
        <x:v>886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Grocery</x:v>
      </x:c>
      <x:c r="E4" t="n">
        <x:v>833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Grocery</x:v>
      </x:c>
      <x:c r="E5" t="n">
        <x:v>752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7.32</x:v>
      </x:c>
      <x:c r="C2" t="n">
        <x:v>99.08</x:v>
      </x:c>
      <x:c r="D2" t="n">
        <x:v>87.28</x:v>
      </x:c>
      <x:c r="E2" t="n">
        <x:v>109</x:v>
      </x:c>
      <x:c r="F2" t="str">
        <x:v>Low</x:v>
      </x:c>
      <x:c r="G2" t="str">
        <x:v>Economic conditions for demand adjustment</x:v>
      </x:c>
    </x:row>
    <x:row r="3">
      <x:c r="A3" t="n">
        <x:v>45323</x:v>
      </x:c>
      <x:c r="B3" t="n">
        <x:v>8.15</x:v>
      </x:c>
      <x:c r="C3" t="n">
        <x:v>100.33</x:v>
      </x:c>
      <x:c r="D3" t="n">
        <x:v>86.24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8.54</x:v>
      </x:c>
      <x:c r="C4" t="n">
        <x:v>100.69</x:v>
      </x:c>
      <x:c r="D4" t="n">
        <x:v>85.7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8.36</x:v>
      </x:c>
      <x:c r="C5" t="n">
        <x:v>101.41</x:v>
      </x:c>
      <x:c r="D5" t="n">
        <x:v>86.21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8.48</x:v>
      </x:c>
      <x:c r="C6" t="n">
        <x:v>100.91</x:v>
      </x:c>
      <x:c r="D6" t="n">
        <x:v>85.86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8.86</x:v>
      </x:c>
      <x:c r="C7" t="n">
        <x:v>102.23</x:v>
      </x:c>
      <x:c r="D7" t="n">
        <x:v>85.6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11.49</x:v>
      </x:c>
      <x:c r="C8" t="n">
        <x:v>101.05</x:v>
      </x:c>
      <x:c r="D8" t="n">
        <x:v>80.78</x:v>
      </x:c>
      <x:c r="E8" t="n">
        <x:v>111.4</x:v>
      </x:c>
      <x:c r="F8" t="str">
        <x:v>High</x:v>
      </x:c>
      <x:c r="G8" t="str">
        <x:v>Economic conditions for demand adjustment</x:v>
      </x:c>
    </x:row>
    <x:row r="9">
      <x:c r="A9" t="n">
        <x:v>45505</x:v>
      </x:c>
      <x:c r="B9" t="n">
        <x:v>11.29</x:v>
      </x:c>
      <x:c r="C9" t="n">
        <x:v>102.88</x:v>
      </x:c>
      <x:c r="D9" t="n">
        <x:v>81.67</x:v>
      </x:c>
      <x:c r="E9" t="n">
        <x:v>111.8</x:v>
      </x:c>
      <x:c r="F9" t="str">
        <x:v>High</x:v>
      </x:c>
      <x:c r="G9" t="str">
        <x:v>Economic conditions for demand adjustment</x:v>
      </x:c>
    </x:row>
    <x:row r="10">
      <x:c r="A10" t="n">
        <x:v>45536</x:v>
      </x:c>
      <x:c r="B10" t="n">
        <x:v>11.19</x:v>
      </x:c>
      <x:c r="C10" t="n">
        <x:v>103.19</x:v>
      </x:c>
      <x:c r="D10" t="n">
        <x:v>81.93</x:v>
      </x:c>
      <x:c r="E10" t="n">
        <x:v>112.2</x:v>
      </x:c>
      <x:c r="F10" t="str">
        <x:v>High</x:v>
      </x:c>
      <x:c r="G10" t="str">
        <x:v>Economic conditions for demand adjustment</x:v>
      </x:c>
    </x:row>
    <x:row r="11">
      <x:c r="A11" t="n">
        <x:v>45566</x:v>
      </x:c>
      <x:c r="B11" t="n">
        <x:v>10.6</x:v>
      </x:c>
      <x:c r="C11" t="n">
        <x:v>103.65</x:v>
      </x:c>
      <x:c r="D11" t="n">
        <x:v>83.07</x:v>
      </x:c>
      <x:c r="E11" t="n">
        <x:v>112.6</x:v>
      </x:c>
      <x:c r="F11" t="str">
        <x:v>High</x:v>
      </x:c>
      <x:c r="G11" t="str">
        <x:v>Economic conditions for demand adjustment</x:v>
      </x:c>
    </x:row>
    <x:row r="12">
      <x:c r="A12" t="n">
        <x:v>45597</x:v>
      </x:c>
      <x:c r="B12" t="n">
        <x:v>10.27</x:v>
      </x:c>
      <x:c r="C12" t="n">
        <x:v>103</x:v>
      </x:c>
      <x:c r="D12" t="n">
        <x:v>83.44</x:v>
      </x:c>
      <x:c r="E12" t="n">
        <x:v>113</x:v>
      </x:c>
      <x:c r="F12" t="str">
        <x:v>High</x:v>
      </x:c>
      <x:c r="G12" t="str">
        <x:v>Economic conditions for demand adjustment</x:v>
      </x:c>
    </x:row>
    <x:row r="13">
      <x:c r="A13" t="n">
        <x:v>45627</x:v>
      </x:c>
      <x:c r="B13" t="n">
        <x:v>10.15</x:v>
      </x:c>
      <x:c r="C13" t="n">
        <x:v>103.34</x:v>
      </x:c>
      <x:c r="D13" t="n">
        <x:v>83.74</x:v>
      </x:c>
      <x:c r="E13" t="n">
        <x:v>113.4</x:v>
      </x:c>
      <x:c r="F13" t="str">
        <x:v>High</x:v>
      </x:c>
      <x:c r="G13" t="str">
        <x:v>Economic conditions for demand adjustment</x:v>
      </x:c>
    </x:row>
    <x:row r="14">
      <x:c r="A14" t="n">
        <x:v>45658</x:v>
      </x:c>
      <x:c r="B14" t="n">
        <x:v>9.77</x:v>
      </x:c>
      <x:c r="C14" t="n">
        <x:v>104.05</x:v>
      </x:c>
      <x:c r="D14" t="n">
        <x:v>84.6</x:v>
      </x:c>
      <x:c r="E14" t="n">
        <x:v>113.8</x:v>
      </x:c>
      <x:c r="F14" t="str">
        <x:v>Medium</x:v>
      </x:c>
      <x:c r="G14" t="str">
        <x:v>Economic conditions for demand adjustment</x:v>
      </x:c>
    </x:row>
    <x:row r="15">
      <x:c r="A15" t="n">
        <x:v>45689</x:v>
      </x:c>
      <x:c r="B15" t="n">
        <x:v>9.13</x:v>
      </x:c>
      <x:c r="C15" t="n">
        <x:v>104.1</x:v>
      </x:c>
      <x:c r="D15" t="n">
        <x:v>85.71</x:v>
      </x:c>
      <x:c r="E15" t="n">
        <x:v>114.2</x:v>
      </x:c>
      <x:c r="F15" t="str">
        <x:v>Medium</x:v>
      </x:c>
      <x:c r="G15" t="str">
        <x:v>Economic conditions for demand adjustment</x:v>
      </x:c>
    </x:row>
    <x:row r="16">
      <x:c r="A16" t="n">
        <x:v>45717</x:v>
      </x:c>
      <x:c r="B16" t="n">
        <x:v>9.49</x:v>
      </x:c>
      <x:c r="C16" t="n">
        <x:v>104.29</x:v>
      </x:c>
      <x:c r="D16" t="n">
        <x:v>85.15</x:v>
      </x:c>
      <x:c r="E16" t="n">
        <x:v>114.6</x:v>
      </x:c>
      <x:c r="F16" t="str">
        <x:v>Medium</x:v>
      </x:c>
      <x:c r="G16" t="str">
        <x:v>Economic conditions for demand adjustment</x:v>
      </x:c>
    </x:row>
    <x:row r="17">
      <x:c r="A17" t="n">
        <x:v>45748</x:v>
      </x:c>
      <x:c r="B17" t="n">
        <x:v>9.24</x:v>
      </x:c>
      <x:c r="C17" t="n">
        <x:v>103.66</x:v>
      </x:c>
      <x:c r="D17" t="n">
        <x:v>85.39</x:v>
      </x:c>
      <x:c r="E17" t="n">
        <x:v>115</x:v>
      </x:c>
      <x:c r="F17" t="str">
        <x:v>Medium</x:v>
      </x:c>
      <x:c r="G17" t="str">
        <x:v>Economic conditions for demand adjustment</x:v>
      </x:c>
    </x:row>
    <x:row r="18">
      <x:c r="A18" t="n">
        <x:v>45778</x:v>
      </x:c>
      <x:c r="B18" t="n">
        <x:v>9.62</x:v>
      </x:c>
      <x:c r="C18" t="n">
        <x:v>104.41</x:v>
      </x:c>
      <x:c r="D18" t="n">
        <x:v>84.97</x:v>
      </x:c>
      <x:c r="E18" t="n">
        <x:v>115.4</x:v>
      </x:c>
      <x:c r="F18" t="str">
        <x:v>Medium</x:v>
      </x:c>
      <x:c r="G18" t="str">
        <x:v>Economic conditions for demand adjustment</x:v>
      </x:c>
    </x:row>
    <x:row r="19">
      <x:c r="A19" t="n">
        <x:v>45809</x:v>
      </x:c>
      <x:c r="B19" t="n">
        <x:v>9.87</x:v>
      </x:c>
      <x:c r="C19" t="n">
        <x:v>104.95</x:v>
      </x:c>
      <x:c r="D19" t="n">
        <x:v>84.71</x:v>
      </x:c>
      <x:c r="E19" t="n">
        <x:v>115.8</x:v>
      </x:c>
      <x:c r="F19" t="str">
        <x:v>Medium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5</x:v>
      </x:c>
      <x:c r="E2" t="n">
        <x:v>10</x:v>
      </x:c>
      <x:c r="F2" t="n">
        <x:v>9</x:v>
      </x:c>
      <x:c r="G2" t="n">
        <x:v>1</x:v>
      </x:c>
      <x:c r="H2" t="n">
        <x:v>25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4</x:v>
      </x:c>
      <x:c r="E3" t="n">
        <x:v>11</x:v>
      </x:c>
      <x:c r="F3" t="n">
        <x:v>6</x:v>
      </x:c>
      <x:c r="G3" t="n">
        <x:v>1</x:v>
      </x:c>
      <x:c r="H3" t="n">
        <x:v>22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2</x:v>
      </x:c>
      <x:c r="E4" t="n">
        <x:v>11</x:v>
      </x:c>
      <x:c r="F4" t="n">
        <x:v>7</x:v>
      </x:c>
      <x:c r="G4" t="n">
        <x:v>5</x:v>
      </x:c>
      <x:c r="H4" t="n">
        <x:v>25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3</x:v>
      </x:c>
      <x:c r="E5" t="n">
        <x:v>5</x:v>
      </x:c>
      <x:c r="F5" t="n">
        <x:v>4</x:v>
      </x:c>
      <x:c r="G5" t="n">
        <x:v>5</x:v>
      </x:c>
      <x:c r="H5" t="n">
        <x:v>17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1657</x:v>
      </x:c>
      <x:c r="C2" t="n">
        <x:v>1649</x:v>
      </x:c>
      <x:c r="D2" t="n">
        <x:f>C2-B2</x:f>
        <x:v>-8</x:v>
      </x:c>
      <x:c r="E2" t="n">
        <x:f>ABS(D2)</x:f>
        <x:v>8</x:v>
      </x:c>
      <x:c r="F2" s="22" t="n">
        <x:f>IFERROR(E2/C2,0)</x:f>
        <x:v>0.004851425106124924</x:v>
      </x:c>
      <x:c r="G2" t="str">
        <x:v>Formula columns should calculate error and accuracy</x:v>
      </x:c>
    </x:row>
    <x:row r="3">
      <x:c r="A3" t="n">
        <x:v>45505</x:v>
      </x:c>
      <x:c r="B3" t="n">
        <x:v>1510</x:v>
      </x:c>
      <x:c r="C3" t="n">
        <x:v>1381</x:v>
      </x:c>
      <x:c r="D3" t="n">
        <x:f>C3-B3</x:f>
        <x:v>-129</x:v>
      </x:c>
      <x:c r="E3" t="n">
        <x:f>ABS(D3)</x:f>
        <x:v>129</x:v>
      </x:c>
      <x:c r="F3" s="22" t="n">
        <x:f>IFERROR(E3/C3,0)</x:f>
        <x:v>0.09341057204923968</x:v>
      </x:c>
      <x:c r="G3" t="str">
        <x:v>Formula columns should calculate error and accuracy</x:v>
      </x:c>
    </x:row>
    <x:row r="4">
      <x:c r="A4" t="n">
        <x:v>45536</x:v>
      </x:c>
      <x:c r="B4" t="n">
        <x:v>1712</x:v>
      </x:c>
      <x:c r="C4" t="n">
        <x:v>1652</x:v>
      </x:c>
      <x:c r="D4" t="n">
        <x:f>C4-B4</x:f>
        <x:v>-60</x:v>
      </x:c>
      <x:c r="E4" t="n">
        <x:f>ABS(D4)</x:f>
        <x:v>60</x:v>
      </x:c>
      <x:c r="F4" s="22" t="n">
        <x:f>IFERROR(E4/C4,0)</x:f>
        <x:v>0.03631961259079903</x:v>
      </x:c>
      <x:c r="G4" t="str">
        <x:v>Formula columns should calculate error and accuracy</x:v>
      </x:c>
    </x:row>
    <x:row r="5">
      <x:c r="A5" t="n">
        <x:v>45566</x:v>
      </x:c>
      <x:c r="B5" t="n">
        <x:v>1848</x:v>
      </x:c>
      <x:c r="C5" t="n">
        <x:v>1539</x:v>
      </x:c>
      <x:c r="D5" t="n">
        <x:f>C5-B5</x:f>
        <x:v>-309</x:v>
      </x:c>
      <x:c r="E5" t="n">
        <x:f>ABS(D5)</x:f>
        <x:v>309</x:v>
      </x:c>
      <x:c r="F5" s="22" t="n">
        <x:f>IFERROR(E5/C5,0)</x:f>
        <x:v>0.20077972709551656</x:v>
      </x:c>
      <x:c r="G5" t="str">
        <x:v>Formula columns should calculate error and accuracy</x:v>
      </x:c>
    </x:row>
    <x:row r="6">
      <x:c r="A6" t="n">
        <x:v>45597</x:v>
      </x:c>
      <x:c r="B6" t="n">
        <x:v>1608</x:v>
      </x:c>
      <x:c r="C6" t="n">
        <x:v>1608</x:v>
      </x:c>
      <x:c r="D6" t="n">
        <x:f>C6-B6</x:f>
        <x:v>0</x:v>
      </x:c>
      <x:c r="E6" t="n">
        <x:f>ABS(D6)</x:f>
        <x:v>0</x:v>
      </x:c>
      <x:c r="F6" s="22" t="n">
        <x:f>IFERROR(E6/C6,0)</x:f>
        <x:v>0</x:v>
      </x:c>
      <x:c r="G6" t="str">
        <x:v>Formula columns should calculate error and accuracy</x:v>
      </x:c>
    </x:row>
    <x:row r="7">
      <x:c r="A7" t="n">
        <x:v>45627</x:v>
      </x:c>
      <x:c r="B7" t="n">
        <x:v>1715</x:v>
      </x:c>
      <x:c r="C7" t="n">
        <x:v>1711</x:v>
      </x:c>
      <x:c r="D7" t="n">
        <x:f>C7-B7</x:f>
        <x:v>-4</x:v>
      </x:c>
      <x:c r="E7" t="n">
        <x:f>ABS(D7)</x:f>
        <x:v>4</x:v>
      </x:c>
      <x:c r="F7" s="22" t="n">
        <x:f>IFERROR(E7/C7,0)</x:f>
        <x:v>0.0023378141437755697</x:v>
      </x:c>
      <x:c r="G7" t="str">
        <x:v>Formula columns should calculate error and accuracy</x:v>
      </x:c>
    </x:row>
    <x:row r="8">
      <x:c r="A8" t="n">
        <x:v>45658</x:v>
      </x:c>
      <x:c r="B8" t="n">
        <x:v>1640</x:v>
      </x:c>
      <x:c r="C8" t="n">
        <x:v>1435</x:v>
      </x:c>
      <x:c r="D8" t="n">
        <x:f>C8-B8</x:f>
        <x:v>-205</x:v>
      </x:c>
      <x:c r="E8" t="n">
        <x:f>ABS(D8)</x:f>
        <x:v>205</x:v>
      </x:c>
      <x:c r="F8" s="22" t="n">
        <x:f>IFERROR(E8/C8,0)</x:f>
        <x:v>0.14285714285714285</x:v>
      </x:c>
      <x:c r="G8" t="str">
        <x:v>Formula columns should calculate error and accuracy</x:v>
      </x:c>
    </x:row>
    <x:row r="9">
      <x:c r="A9" t="n">
        <x:v>45689</x:v>
      </x:c>
      <x:c r="B9" t="n">
        <x:v>1775</x:v>
      </x:c>
      <x:c r="C9" t="n">
        <x:v>1679</x:v>
      </x:c>
      <x:c r="D9" t="n">
        <x:f>C9-B9</x:f>
        <x:v>-96</x:v>
      </x:c>
      <x:c r="E9" t="n">
        <x:f>ABS(D9)</x:f>
        <x:v>96</x:v>
      </x:c>
      <x:c r="F9" s="22" t="n">
        <x:f>IFERROR(E9/C9,0)</x:f>
        <x:v>0.05717689100655152</x:v>
      </x:c>
      <x:c r="G9" t="str">
        <x:v>Formula columns should calculate error and accuracy</x:v>
      </x:c>
    </x:row>
    <x:row r="10">
      <x:c r="A10" t="n">
        <x:v>45717</x:v>
      </x:c>
      <x:c r="B10" t="n">
        <x:v>1774</x:v>
      </x:c>
      <x:c r="C10" t="n">
        <x:v>2136</x:v>
      </x:c>
      <x:c r="D10" t="n">
        <x:f>C10-B10</x:f>
        <x:v>362</x:v>
      </x:c>
      <x:c r="E10" t="n">
        <x:f>ABS(D10)</x:f>
        <x:v>362</x:v>
      </x:c>
      <x:c r="F10" s="22" t="n">
        <x:f>IFERROR(E10/C10,0)</x:f>
        <x:v>0.1694756554307116</x:v>
      </x:c>
      <x:c r="G10" t="str">
        <x:v>Formula columns should calculate error and accuracy</x:v>
      </x:c>
    </x:row>
    <x:row r="11">
      <x:c r="A11" t="n">
        <x:v>45748</x:v>
      </x:c>
      <x:c r="B11" t="n">
        <x:v>1709</x:v>
      </x:c>
      <x:c r="C11" t="n">
        <x:v>1529</x:v>
      </x:c>
      <x:c r="D11" t="n">
        <x:f>C11-B11</x:f>
        <x:v>-180</x:v>
      </x:c>
      <x:c r="E11" t="n">
        <x:f>ABS(D11)</x:f>
        <x:v>180</x:v>
      </x:c>
      <x:c r="F11" s="22" t="n">
        <x:f>IFERROR(E11/C11,0)</x:f>
        <x:v>0.11772400261608895</x:v>
      </x:c>
      <x:c r="G11" t="str">
        <x:v>Formula columns should calculate error and accuracy</x:v>
      </x:c>
    </x:row>
    <x:row r="12">
      <x:c r="A12" t="n">
        <x:v>45778</x:v>
      </x:c>
      <x:c r="B12" t="n">
        <x:v>1927</x:v>
      </x:c>
      <x:c r="C12" t="n">
        <x:v>2284</x:v>
      </x:c>
      <x:c r="D12" t="n">
        <x:f>C12-B12</x:f>
        <x:v>357</x:v>
      </x:c>
      <x:c r="E12" t="n">
        <x:f>ABS(D12)</x:f>
        <x:v>357</x:v>
      </x:c>
      <x:c r="F12" s="22" t="n">
        <x:f>IFERROR(E12/C12,0)</x:f>
        <x:v>0.1563047285464098</x:v>
      </x:c>
      <x:c r="G12" t="str">
        <x:v>Formula columns should calculate error and accuracy</x:v>
      </x:c>
    </x:row>
    <x:row r="13">
      <x:c r="A13" t="n">
        <x:v>45809</x:v>
      </x:c>
      <x:c r="B13" t="n">
        <x:v>1803</x:v>
      </x:c>
      <x:c r="C13" t="n">
        <x:v>2037</x:v>
      </x:c>
      <x:c r="D13" t="n">
        <x:f>C13-B13</x:f>
        <x:v>234</x:v>
      </x:c>
      <x:c r="E13" t="n">
        <x:f>ABS(D13)</x:f>
        <x:v>234</x:v>
      </x:c>
      <x:c r="F13" s="22" t="n">
        <x:f>IFERROR(E13/C13,0)</x:f>
        <x:v>0.11487481590574374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98</x:v>
      </x:c>
      <x:c r="E2" t="n">
        <x:v>1526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84</x:v>
      </x:c>
      <x:c r="E3" t="n">
        <x:v>1200</x:v>
      </x:c>
      <x:c r="F3" t="str">
        <x:v>High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76</x:v>
      </x:c>
      <x:c r="E4" t="n">
        <x:v>1034</x:v>
      </x:c>
      <x:c r="F4" t="str">
        <x:v>Medium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53</x:v>
      </x:c>
      <x:c r="E5" t="n">
        <x:v>998</x:v>
      </x:c>
      <x:c r="F5" t="str">
        <x:v>Low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73</x:v>
      </x:c>
      <x:c r="E6" t="n">
        <x:v>977</x:v>
      </x:c>
      <x:c r="F6" t="str">
        <x:v>Medium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90</x:v>
      </x:c>
      <x:c r="E7" t="n">
        <x:v>1400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50</x:v>
      </x:c>
      <x:c r="E8" t="n">
        <x:v>924</x:v>
      </x:c>
      <x:c r="F8" t="str">
        <x:v>Low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65</x:v>
      </x:c>
      <x:c r="E9" t="n">
        <x:v>1127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Weekly</x:v>
      </x:c>
      <x:c r="E2" t="n">
        <x:v>9</x:v>
      </x:c>
      <x:c r="F2" t="n">
        <x:v>9115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Monthly</x:v>
      </x:c>
      <x:c r="E3" t="n">
        <x:v>3</x:v>
      </x:c>
      <x:c r="F3" t="n">
        <x:v>3313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Bi-weekly</x:v>
      </x:c>
      <x:c r="E4" t="n">
        <x:v>6</x:v>
      </x:c>
      <x:c r="F4" t="n">
        <x:v>5968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Weekly</x:v>
      </x:c>
      <x:c r="E5" t="n">
        <x:v>4</x:v>
      </x:c>
      <x:c r="F5" t="n">
        <x:v>4591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Bi-weekly</x:v>
      </x:c>
      <x:c r="E6" t="n">
        <x:v>8</x:v>
      </x:c>
      <x:c r="F6" t="n">
        <x:v>5874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191</x:v>
      </x:c>
      <x:c r="F2" t="n">
        <x:v>93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114</x:v>
      </x:c>
      <x:c r="F3" t="n">
        <x:v>84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80</x:v>
      </x:c>
      <x:c r="F4" t="n">
        <x:v>74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24</x:v>
      </x:c>
      <x:c r="F5" t="n">
        <x:v>88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Cooking Oil 5L Fresh Grocery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Cooking Oil 5L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Grocery competitor pricing promotions Bangladesh Fresh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Cooking Oil 5L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62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62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69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72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