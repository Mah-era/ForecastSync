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19fe60b3a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42476b7a2c9445fa"/>
    <x:sheet xmlns:r="http://schemas.openxmlformats.org/officeDocument/2006/relationships" name="Historical_Sales" sheetId="2" r:id="R052a9292c5fd4365"/>
    <x:sheet xmlns:r="http://schemas.openxmlformats.org/officeDocument/2006/relationships" name="Inventory" sheetId="3" r:id="R81c035c2a4f54493"/>
    <x:sheet xmlns:r="http://schemas.openxmlformats.org/officeDocument/2006/relationships" name="Promotions" sheetId="4" r:id="Rcbd339a2b9c940ea"/>
    <x:sheet xmlns:r="http://schemas.openxmlformats.org/officeDocument/2006/relationships" name="Competitors" sheetId="5" r:id="R27a1fcf475044cc8"/>
    <x:sheet xmlns:r="http://schemas.openxmlformats.org/officeDocument/2006/relationships" name="Economic" sheetId="6" r:id="R77be17ced8f94e6a"/>
    <x:sheet xmlns:r="http://schemas.openxmlformats.org/officeDocument/2006/relationships" name="Lead_Time" sheetId="7" r:id="Rbce8dda9675447b8"/>
    <x:sheet xmlns:r="http://schemas.openxmlformats.org/officeDocument/2006/relationships" name="Forecast_Actual" sheetId="8" r:id="R3dd747d91a584987"/>
    <x:sheet xmlns:r="http://schemas.openxmlformats.org/officeDocument/2006/relationships" name="Regional_Demand_Map" sheetId="9" r:id="R133149f1940741eb"/>
    <x:sheet xmlns:r="http://schemas.openxmlformats.org/officeDocument/2006/relationships" name="SCM_Flow_Map" sheetId="10" r:id="Ra9feb633a2694e67"/>
    <x:sheet xmlns:r="http://schemas.openxmlformats.org/officeDocument/2006/relationships" name="Customer_Patterns" sheetId="11" r:id="Raaa9b036ff074d30"/>
    <x:sheet xmlns:r="http://schemas.openxmlformats.org/officeDocument/2006/relationships" name="Technology_Data" sheetId="12" r:id="R257f676d59a84cd7"/>
    <x:sheet xmlns:r="http://schemas.openxmlformats.org/officeDocument/2006/relationships" name="Web_Search_Seeds" sheetId="13" r:id="R1a4b66aef00d43bd"/>
    <x:sheet xmlns:r="http://schemas.openxmlformats.org/officeDocument/2006/relationships" name="Manual_Expert_Opinion" sheetId="14" r:id="R1ba5d5fb5e0548b1"/>
    <x:sheet xmlns:r="http://schemas.openxmlformats.org/officeDocument/2006/relationships" name="Data_Issues" sheetId="15" r:id="R0a065f22c784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41f08a8144858" /><Relationship Type="http://schemas.openxmlformats.org/officeDocument/2006/relationships/theme" Target="/xl/theme/theme1.xml" Id="R3a9c94be3b3c43c2" /><Relationship Type="http://schemas.openxmlformats.org/officeDocument/2006/relationships/sharedStrings" Target="/xl/sharedStrings.xml" Id="R2a947e6cf4df4595" /><Relationship Type="http://schemas.openxmlformats.org/officeDocument/2006/relationships/worksheet" Target="/xl/worksheets/sheet1.xml" Id="R42476b7a2c9445fa" /><Relationship Type="http://schemas.openxmlformats.org/officeDocument/2006/relationships/worksheet" Target="/xl/worksheets/sheet2.xml" Id="R052a9292c5fd4365" /><Relationship Type="http://schemas.openxmlformats.org/officeDocument/2006/relationships/worksheet" Target="/xl/worksheets/sheet3.xml" Id="R81c035c2a4f54493" /><Relationship Type="http://schemas.openxmlformats.org/officeDocument/2006/relationships/worksheet" Target="/xl/worksheets/sheet4.xml" Id="Rcbd339a2b9c940ea" /><Relationship Type="http://schemas.openxmlformats.org/officeDocument/2006/relationships/worksheet" Target="/xl/worksheets/sheet5.xml" Id="R27a1fcf475044cc8" /><Relationship Type="http://schemas.openxmlformats.org/officeDocument/2006/relationships/worksheet" Target="/xl/worksheets/sheet6.xml" Id="R77be17ced8f94e6a" /><Relationship Type="http://schemas.openxmlformats.org/officeDocument/2006/relationships/worksheet" Target="/xl/worksheets/sheet7.xml" Id="Rbce8dda9675447b8" /><Relationship Type="http://schemas.openxmlformats.org/officeDocument/2006/relationships/worksheet" Target="/xl/worksheets/sheet8.xml" Id="R3dd747d91a584987" /><Relationship Type="http://schemas.openxmlformats.org/officeDocument/2006/relationships/worksheet" Target="/xl/worksheets/sheet9.xml" Id="R133149f1940741eb" /><Relationship Type="http://schemas.openxmlformats.org/officeDocument/2006/relationships/worksheet" Target="/xl/worksheets/sheet10.xml" Id="Ra9feb633a2694e67" /><Relationship Type="http://schemas.openxmlformats.org/officeDocument/2006/relationships/worksheet" Target="/xl/worksheets/sheet11.xml" Id="Raaa9b036ff074d30" /><Relationship Type="http://schemas.openxmlformats.org/officeDocument/2006/relationships/worksheet" Target="/xl/worksheets/sheet12.xml" Id="R257f676d59a84cd7" /><Relationship Type="http://schemas.openxmlformats.org/officeDocument/2006/relationships/worksheet" Target="/xl/worksheets/sheet13.xml" Id="R1a4b66aef00d43bd" /><Relationship Type="http://schemas.openxmlformats.org/officeDocument/2006/relationships/worksheet" Target="/xl/worksheets/sheet14.xml" Id="R1ba5d5fb5e0548b1" /><Relationship Type="http://schemas.openxmlformats.org/officeDocument/2006/relationships/worksheet" Target="/xl/worksheets/sheet15.xml" Id="R0a065f22c784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DPF-14</x:v>
      </x:c>
    </x:row>
    <x:row r="3">
      <x:c r="A3" t="str">
        <x:v>Scenario Title</x:v>
      </x:c>
      <x:c r="B3" t="str">
        <x:v>Supplier Production Delay</x:v>
      </x:c>
    </x:row>
    <x:row r="4">
      <x:c r="A4" t="str">
        <x:v>Purpose</x:v>
      </x:c>
      <x:c r="B4" t="str">
        <x:v>Test supplier delay risk.</x:v>
      </x:c>
    </x:row>
    <x:row r="5">
      <x:c r="A5" t="str">
        <x:v>Product Name</x:v>
      </x:c>
      <x:c r="B5" t="str">
        <x:v>Paper Carton Box</x:v>
      </x:c>
    </x:row>
    <x:row r="6">
      <x:c r="A6" t="str">
        <x:v>Category</x:v>
      </x:c>
      <x:c r="B6" t="str">
        <x:v>Packaging</x:v>
      </x:c>
    </x:row>
    <x:row r="7">
      <x:c r="A7" t="str">
        <x:v>Brand</x:v>
      </x:c>
      <x:c r="B7" t="str">
        <x:v>Xbo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Lead Time, Inventory, Supply Chain Flow</x:v>
      </x:c>
    </x:row>
    <x:row r="11">
      <x:c r="A11" t="str">
        <x:v>Recommended Inputs To Tick</x:v>
      </x:c>
      <x:c r="B11" t="str">
        <x:v>Lead Time, Inventory Levels, Historical Sales Data</x:v>
      </x:c>
    </x:row>
    <x:row r="12">
      <x:c r="A12" t="str">
        <x:v>Recommended Outputs To Tick</x:v>
      </x:c>
      <x:c r="B12" t="str">
        <x:v>Lead Time Analysis, Risk Alerts, Action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Paper Carton Box</x:v>
      </x:c>
      <x:c r="C2" t="str">
        <x:v>Packaging</x:v>
      </x:c>
      <x:c r="D2" t="str">
        <x:v>Xbo</x:v>
      </x:c>
      <x:c r="E2" t="str">
        <x:v>Dhaka</x:v>
      </x:c>
      <x:c r="F2" t="str">
        <x:v>Retail</x:v>
      </x:c>
      <x:c r="G2" t="n">
        <x:v>3564</x:v>
      </x:c>
      <x:c r="H2" t="n">
        <x:v>18</x:v>
      </x:c>
      <x:c r="I2" t="n">
        <x:v>64152</x:v>
      </x:c>
      <x:c r="J2" t="str"/>
    </x:row>
    <x:row r="3">
      <x:c r="A3" t="n">
        <x:v>45323</x:v>
      </x:c>
      <x:c r="B3" t="str">
        <x:v>Paper Carton Box</x:v>
      </x:c>
      <x:c r="C3" t="str">
        <x:v>Packaging</x:v>
      </x:c>
      <x:c r="D3" t="str">
        <x:v>Xbo</x:v>
      </x:c>
      <x:c r="E3" t="str">
        <x:v>Chattogram</x:v>
      </x:c>
      <x:c r="F3" t="str">
        <x:v>Online</x:v>
      </x:c>
      <x:c r="G3" t="n">
        <x:v>2964</x:v>
      </x:c>
      <x:c r="H3" t="n">
        <x:v>18</x:v>
      </x:c>
      <x:c r="I3" t="n">
        <x:v>53352</x:v>
      </x:c>
      <x:c r="J3" t="str"/>
    </x:row>
    <x:row r="4">
      <x:c r="A4" t="n">
        <x:v>45352</x:v>
      </x:c>
      <x:c r="B4" t="str">
        <x:v>Paper Carton Box</x:v>
      </x:c>
      <x:c r="C4" t="str">
        <x:v>Packaging</x:v>
      </x:c>
      <x:c r="D4" t="str">
        <x:v>Xbo</x:v>
      </x:c>
      <x:c r="E4" t="str">
        <x:v>Sylhet</x:v>
      </x:c>
      <x:c r="F4" t="str">
        <x:v>Wholesale</x:v>
      </x:c>
      <x:c r="G4" t="n">
        <x:v>3154</x:v>
      </x:c>
      <x:c r="H4" t="n">
        <x:v>18</x:v>
      </x:c>
      <x:c r="I4" t="n">
        <x:v>56772</x:v>
      </x:c>
      <x:c r="J4" t="str"/>
    </x:row>
    <x:row r="5">
      <x:c r="A5" t="n">
        <x:v>45383</x:v>
      </x:c>
      <x:c r="B5" t="str">
        <x:v>Paper Carton Box</x:v>
      </x:c>
      <x:c r="C5" t="str">
        <x:v>Packaging</x:v>
      </x:c>
      <x:c r="D5" t="str">
        <x:v>Xbo</x:v>
      </x:c>
      <x:c r="E5" t="str">
        <x:v>Rajshahi</x:v>
      </x:c>
      <x:c r="F5" t="str">
        <x:v>Modern Trade</x:v>
      </x:c>
      <x:c r="G5" t="n">
        <x:v>3703</x:v>
      </x:c>
      <x:c r="H5" t="n">
        <x:v>18</x:v>
      </x:c>
      <x:c r="I5" t="n">
        <x:v>66654</x:v>
      </x:c>
      <x:c r="J5" t="str"/>
    </x:row>
    <x:row r="6">
      <x:c r="A6" t="n">
        <x:v>45413</x:v>
      </x:c>
      <x:c r="B6" t="str">
        <x:v>Paper Carton Box</x:v>
      </x:c>
      <x:c r="C6" t="str">
        <x:v>Packaging</x:v>
      </x:c>
      <x:c r="D6" t="str">
        <x:v>Xbo</x:v>
      </x:c>
      <x:c r="E6" t="str">
        <x:v>Khulna</x:v>
      </x:c>
      <x:c r="F6" t="str">
        <x:v>Retail</x:v>
      </x:c>
      <x:c r="G6" t="n">
        <x:v>3148</x:v>
      </x:c>
      <x:c r="H6" t="n">
        <x:v>18</x:v>
      </x:c>
      <x:c r="I6" t="n">
        <x:v>56664</x:v>
      </x:c>
      <x:c r="J6" t="str"/>
    </x:row>
    <x:row r="7">
      <x:c r="A7" t="n">
        <x:v>45444</x:v>
      </x:c>
      <x:c r="B7" t="str">
        <x:v>Paper Carton Box</x:v>
      </x:c>
      <x:c r="C7" t="str">
        <x:v>Packaging</x:v>
      </x:c>
      <x:c r="D7" t="str">
        <x:v>Xbo</x:v>
      </x:c>
      <x:c r="E7" t="str">
        <x:v>Barishal</x:v>
      </x:c>
      <x:c r="F7" t="str">
        <x:v>Online</x:v>
      </x:c>
      <x:c r="G7" t="n">
        <x:v>3287</x:v>
      </x:c>
      <x:c r="H7" t="n">
        <x:v>18</x:v>
      </x:c>
      <x:c r="I7" t="n">
        <x:v>59166</x:v>
      </x:c>
      <x:c r="J7" t="str"/>
    </x:row>
    <x:row r="8">
      <x:c r="A8" t="n">
        <x:v>45474</x:v>
      </x:c>
      <x:c r="B8" t="str">
        <x:v>Paper Carton Box</x:v>
      </x:c>
      <x:c r="C8" t="str">
        <x:v>Packaging</x:v>
      </x:c>
      <x:c r="D8" t="str">
        <x:v>Xbo</x:v>
      </x:c>
      <x:c r="E8" t="str">
        <x:v>Rangpur</x:v>
      </x:c>
      <x:c r="F8" t="str">
        <x:v>Wholesale</x:v>
      </x:c>
      <x:c r="G8" t="n">
        <x:v>3877</x:v>
      </x:c>
      <x:c r="H8" t="n">
        <x:v>18</x:v>
      </x:c>
      <x:c r="I8" t="n">
        <x:v>69786</x:v>
      </x:c>
      <x:c r="J8" t="str"/>
    </x:row>
    <x:row r="9">
      <x:c r="A9" t="n">
        <x:v>45505</x:v>
      </x:c>
      <x:c r="B9" t="str">
        <x:v>Paper Carton Box</x:v>
      </x:c>
      <x:c r="C9" t="str">
        <x:v>Packaging</x:v>
      </x:c>
      <x:c r="D9" t="str">
        <x:v>Xbo</x:v>
      </x:c>
      <x:c r="E9" t="str">
        <x:v>Mymensingh</x:v>
      </x:c>
      <x:c r="F9" t="str">
        <x:v>Modern Trade</x:v>
      </x:c>
      <x:c r="G9" t="n">
        <x:v>3934</x:v>
      </x:c>
      <x:c r="H9" t="n">
        <x:v>18</x:v>
      </x:c>
      <x:c r="I9" t="n">
        <x:v>70812</x:v>
      </x:c>
      <x:c r="J9" t="str"/>
    </x:row>
    <x:row r="10">
      <x:c r="A10" t="n">
        <x:v>45536</x:v>
      </x:c>
      <x:c r="B10" t="str">
        <x:v>Paper Carton Box</x:v>
      </x:c>
      <x:c r="C10" t="str">
        <x:v>Packaging</x:v>
      </x:c>
      <x:c r="D10" t="str">
        <x:v>Xbo</x:v>
      </x:c>
      <x:c r="E10" t="str">
        <x:v>Dhaka</x:v>
      </x:c>
      <x:c r="F10" t="str">
        <x:v>Retail</x:v>
      </x:c>
      <x:c r="G10" t="n">
        <x:v>3405</x:v>
      </x:c>
      <x:c r="H10" t="n">
        <x:v>18</x:v>
      </x:c>
      <x:c r="I10" t="n">
        <x:v>61290</x:v>
      </x:c>
      <x:c r="J10" t="str"/>
    </x:row>
    <x:row r="11">
      <x:c r="A11" t="n">
        <x:v>45566</x:v>
      </x:c>
      <x:c r="B11" t="str">
        <x:v>Paper Carton Box</x:v>
      </x:c>
      <x:c r="C11" t="str">
        <x:v>Packaging</x:v>
      </x:c>
      <x:c r="D11" t="str">
        <x:v>Xbo</x:v>
      </x:c>
      <x:c r="E11" t="str">
        <x:v>Chattogram</x:v>
      </x:c>
      <x:c r="F11" t="str">
        <x:v>Online</x:v>
      </x:c>
      <x:c r="G11" t="n">
        <x:v>3802</x:v>
      </x:c>
      <x:c r="H11" t="n">
        <x:v>18</x:v>
      </x:c>
      <x:c r="I11" t="n">
        <x:v>68436</x:v>
      </x:c>
      <x:c r="J11" t="str"/>
    </x:row>
    <x:row r="12">
      <x:c r="A12" t="n">
        <x:v>45597</x:v>
      </x:c>
      <x:c r="B12" t="str">
        <x:v>Paper Carton Box</x:v>
      </x:c>
      <x:c r="C12" t="str">
        <x:v>Packaging</x:v>
      </x:c>
      <x:c r="D12" t="str">
        <x:v>Xbo</x:v>
      </x:c>
      <x:c r="E12" t="str">
        <x:v>Sylhet</x:v>
      </x:c>
      <x:c r="F12" t="str">
        <x:v>Wholesale</x:v>
      </x:c>
      <x:c r="G12" t="n">
        <x:v>3672</x:v>
      </x:c>
      <x:c r="H12" t="n">
        <x:v>18</x:v>
      </x:c>
      <x:c r="I12" t="n">
        <x:v>66096</x:v>
      </x:c>
      <x:c r="J12" t="str"/>
    </x:row>
    <x:row r="13">
      <x:c r="A13" t="n">
        <x:v>45627</x:v>
      </x:c>
      <x:c r="B13" t="str">
        <x:v>Paper Carton Box</x:v>
      </x:c>
      <x:c r="C13" t="str">
        <x:v>Packaging</x:v>
      </x:c>
      <x:c r="D13" t="str">
        <x:v>Xbo</x:v>
      </x:c>
      <x:c r="E13" t="str">
        <x:v>Rajshahi</x:v>
      </x:c>
      <x:c r="F13" t="str">
        <x:v>Modern Trade</x:v>
      </x:c>
      <x:c r="G13" t="n">
        <x:v>3796</x:v>
      </x:c>
      <x:c r="H13" t="n">
        <x:v>18</x:v>
      </x:c>
      <x:c r="I13" t="n">
        <x:v>68328</x:v>
      </x:c>
      <x:c r="J13" t="str"/>
    </x:row>
    <x:row r="14">
      <x:c r="A14" t="n">
        <x:v>45658</x:v>
      </x:c>
      <x:c r="B14" t="str">
        <x:v>Paper Carton Box</x:v>
      </x:c>
      <x:c r="C14" t="str">
        <x:v>Packaging</x:v>
      </x:c>
      <x:c r="D14" t="str">
        <x:v>Xbo</x:v>
      </x:c>
      <x:c r="E14" t="str">
        <x:v>Khulna</x:v>
      </x:c>
      <x:c r="F14" t="str">
        <x:v>Retail</x:v>
      </x:c>
      <x:c r="G14" t="n">
        <x:v>3543</x:v>
      </x:c>
      <x:c r="H14" t="n">
        <x:v>18</x:v>
      </x:c>
      <x:c r="I14" t="n">
        <x:v>63774</x:v>
      </x:c>
      <x:c r="J14" t="str"/>
    </x:row>
    <x:row r="15">
      <x:c r="A15" t="n">
        <x:v>45689</x:v>
      </x:c>
      <x:c r="B15" t="str">
        <x:v>Paper Carton Box</x:v>
      </x:c>
      <x:c r="C15" t="str">
        <x:v>Packaging</x:v>
      </x:c>
      <x:c r="D15" t="str">
        <x:v>Xbo</x:v>
      </x:c>
      <x:c r="E15" t="str">
        <x:v>Barishal</x:v>
      </x:c>
      <x:c r="F15" t="str">
        <x:v>Online</x:v>
      </x:c>
      <x:c r="G15" t="n">
        <x:v>3710</x:v>
      </x:c>
      <x:c r="H15" t="n">
        <x:v>18</x:v>
      </x:c>
      <x:c r="I15" t="n">
        <x:v>66780</x:v>
      </x:c>
      <x:c r="J15" t="str"/>
    </x:row>
    <x:row r="16">
      <x:c r="A16" t="n">
        <x:v>45717</x:v>
      </x:c>
      <x:c r="B16" t="str">
        <x:v>Paper Carton Box</x:v>
      </x:c>
      <x:c r="C16" t="str">
        <x:v>Packaging</x:v>
      </x:c>
      <x:c r="D16" t="str">
        <x:v>Xbo</x:v>
      </x:c>
      <x:c r="E16" t="str">
        <x:v>Rangpur</x:v>
      </x:c>
      <x:c r="F16" t="str">
        <x:v>Wholesale</x:v>
      </x:c>
      <x:c r="G16" t="n">
        <x:v>4166</x:v>
      </x:c>
      <x:c r="H16" t="n">
        <x:v>18</x:v>
      </x:c>
      <x:c r="I16" t="n">
        <x:v>74988</x:v>
      </x:c>
      <x:c r="J16" t="str"/>
    </x:row>
    <x:row r="17">
      <x:c r="A17" t="n">
        <x:v>45748</x:v>
      </x:c>
      <x:c r="B17" t="str">
        <x:v>Paper Carton Box</x:v>
      </x:c>
      <x:c r="C17" t="str">
        <x:v>Packaging</x:v>
      </x:c>
      <x:c r="D17" t="str">
        <x:v>Xbo</x:v>
      </x:c>
      <x:c r="E17" t="str">
        <x:v>Mymensingh</x:v>
      </x:c>
      <x:c r="F17" t="str">
        <x:v>Modern Trade</x:v>
      </x:c>
      <x:c r="G17" t="n">
        <x:v>3819</x:v>
      </x:c>
      <x:c r="H17" t="n">
        <x:v>18</x:v>
      </x:c>
      <x:c r="I17" t="n">
        <x:v>68742</x:v>
      </x:c>
      <x:c r="J17" t="str"/>
    </x:row>
    <x:row r="18">
      <x:c r="A18" t="n">
        <x:v>45778</x:v>
      </x:c>
      <x:c r="B18" t="str">
        <x:v>Paper Carton Box</x:v>
      </x:c>
      <x:c r="C18" t="str">
        <x:v>Packaging</x:v>
      </x:c>
      <x:c r="D18" t="str">
        <x:v>Xbo</x:v>
      </x:c>
      <x:c r="E18" t="str">
        <x:v>Dhaka</x:v>
      </x:c>
      <x:c r="F18" t="str">
        <x:v>Retail</x:v>
      </x:c>
      <x:c r="G18" t="n">
        <x:v>3600</x:v>
      </x:c>
      <x:c r="H18" t="n">
        <x:v>18</x:v>
      </x:c>
      <x:c r="I18" t="n">
        <x:v>64800</x:v>
      </x:c>
      <x:c r="J18" t="str"/>
    </x:row>
    <x:row r="19">
      <x:c r="A19" t="n">
        <x:v>45809</x:v>
      </x:c>
      <x:c r="B19" t="str">
        <x:v>Paper Carton Box</x:v>
      </x:c>
      <x:c r="C19" t="str">
        <x:v>Packaging</x:v>
      </x:c>
      <x:c r="D19" t="str">
        <x:v>Xbo</x:v>
      </x:c>
      <x:c r="E19" t="str">
        <x:v>Chattogram</x:v>
      </x:c>
      <x:c r="F19" t="str">
        <x:v>Online</x:v>
      </x:c>
      <x:c r="G19" t="n">
        <x:v>4078</x:v>
      </x:c>
      <x:c r="H19" t="n">
        <x:v>18</x:v>
      </x:c>
      <x:c r="I19" t="n">
        <x:v>73404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XBO-DPF-14-01</x:v>
      </x:c>
      <x:c r="B2" t="str">
        <x:v>Paper Carton Box</x:v>
      </x:c>
      <x:c r="C2" t="str">
        <x:v>Packaging</x:v>
      </x:c>
      <x:c r="D2" t="str">
        <x:v>Xbo</x:v>
      </x:c>
      <x:c r="E2" t="str">
        <x:v>Dhaka</x:v>
      </x:c>
      <x:c r="F2" t="str">
        <x:v>Dhaka DC</x:v>
      </x:c>
      <x:c r="G2" t="n">
        <x:v>2578</x:v>
      </x:c>
      <x:c r="H2" t="n">
        <x:v>590</x:v>
      </x:c>
      <x:c r="I2" t="n">
        <x:v>1368</x:v>
      </x:c>
      <x:c r="J2" t="n">
        <x:v>378</x:v>
      </x:c>
      <x:c r="K2" t="n">
        <x:v>120</x:v>
      </x:c>
      <x:c r="L2" t="n">
        <x:v>45672</x:v>
      </x:c>
      <x:c r="M2" t="str">
        <x:v>OK</x:v>
      </x:c>
    </x:row>
    <x:row r="3">
      <x:c r="A3" t="str">
        <x:v>XBO-DPF-14-02</x:v>
      </x:c>
      <x:c r="B3" t="str">
        <x:v>Paper Carton Box</x:v>
      </x:c>
      <x:c r="C3" t="str">
        <x:v>Packaging</x:v>
      </x:c>
      <x:c r="D3" t="str">
        <x:v>Xbo</x:v>
      </x:c>
      <x:c r="E3" t="str">
        <x:v>Chattogram</x:v>
      </x:c>
      <x:c r="F3" t="str">
        <x:v>Chattogram DC</x:v>
      </x:c>
      <x:c r="G3" t="n">
        <x:v>3615</x:v>
      </x:c>
      <x:c r="H3" t="n">
        <x:v>567</x:v>
      </x:c>
      <x:c r="I3" t="n">
        <x:v>1354</x:v>
      </x:c>
      <x:c r="J3" t="n">
        <x:v>316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XBO-DPF-14-03</x:v>
      </x:c>
      <x:c r="B4" t="str">
        <x:v>Paper Carton Box</x:v>
      </x:c>
      <x:c r="C4" t="str">
        <x:v>Packaging</x:v>
      </x:c>
      <x:c r="D4" t="str">
        <x:v>Xbo</x:v>
      </x:c>
      <x:c r="E4" t="str">
        <x:v>Sylhet</x:v>
      </x:c>
      <x:c r="F4" t="str">
        <x:v>Sylhet DC</x:v>
      </x:c>
      <x:c r="G4" t="n">
        <x:v>1713</x:v>
      </x:c>
      <x:c r="H4" t="n">
        <x:v>631</x:v>
      </x:c>
      <x:c r="I4" t="n">
        <x:v>1453</x:v>
      </x:c>
      <x:c r="J4" t="n">
        <x:v>513</x:v>
      </x:c>
      <x:c r="K4" t="n">
        <x:v>120</x:v>
      </x:c>
      <x:c r="L4" t="n">
        <x:v>45674</x:v>
      </x:c>
      <x:c r="M4" t="str">
        <x:v>OK</x:v>
      </x:c>
    </x:row>
    <x:row r="5">
      <x:c r="A5" t="str">
        <x:v>XBO-DPF-14-04</x:v>
      </x:c>
      <x:c r="B5" t="str">
        <x:v>Paper Carton Box</x:v>
      </x:c>
      <x:c r="C5" t="str">
        <x:v>Packaging</x:v>
      </x:c>
      <x:c r="D5" t="str">
        <x:v>Xbo</x:v>
      </x:c>
      <x:c r="E5" t="str">
        <x:v>Rajshahi</x:v>
      </x:c>
      <x:c r="F5" t="str">
        <x:v>Rajshahi DC</x:v>
      </x:c>
      <x:c r="G5" t="n">
        <x:v>2051</x:v>
      </x:c>
      <x:c r="H5" t="n">
        <x:v>577</x:v>
      </x:c>
      <x:c r="I5" t="n">
        <x:v>1340</x:v>
      </x:c>
      <x:c r="J5" t="n">
        <x:v>208</x:v>
      </x:c>
      <x:c r="K5" t="n">
        <x:v>120</x:v>
      </x:c>
      <x:c r="L5" t="n">
        <x:v>45675</x:v>
      </x:c>
      <x:c r="M5" t="str">
        <x:v>OK</x:v>
      </x:c>
    </x:row>
    <x:row r="6">
      <x:c r="A6" t="str">
        <x:v>XBO-DPF-14-05</x:v>
      </x:c>
      <x:c r="B6" t="str">
        <x:v>Paper Carton Box</x:v>
      </x:c>
      <x:c r="C6" t="str">
        <x:v>Packaging</x:v>
      </x:c>
      <x:c r="D6" t="str">
        <x:v>Xbo</x:v>
      </x:c>
      <x:c r="E6" t="str">
        <x:v>Khulna</x:v>
      </x:c>
      <x:c r="F6" t="str">
        <x:v>Khulna DC</x:v>
      </x:c>
      <x:c r="G6" t="n">
        <x:v>2769</x:v>
      </x:c>
      <x:c r="H6" t="n">
        <x:v>637</x:v>
      </x:c>
      <x:c r="I6" t="n">
        <x:v>1450</x:v>
      </x:c>
      <x:c r="J6" t="n">
        <x:v>116</x:v>
      </x:c>
      <x:c r="K6" t="n">
        <x:v>120</x:v>
      </x:c>
      <x:c r="L6" t="n">
        <x:v>45676</x:v>
      </x:c>
      <x:c r="M6" t="str">
        <x:v>OK</x:v>
      </x:c>
    </x:row>
    <x:row r="7">
      <x:c r="A7" t="str">
        <x:v>XBO-DPF-14-06</x:v>
      </x:c>
      <x:c r="B7" t="str">
        <x:v>Paper Carton Box</x:v>
      </x:c>
      <x:c r="C7" t="str">
        <x:v>Packaging</x:v>
      </x:c>
      <x:c r="D7" t="str">
        <x:v>Xbo</x:v>
      </x:c>
      <x:c r="E7" t="str">
        <x:v>Barishal</x:v>
      </x:c>
      <x:c r="F7" t="str">
        <x:v>Barishal DC</x:v>
      </x:c>
      <x:c r="G7" t="n">
        <x:v>3723</x:v>
      </x:c>
      <x:c r="H7" t="n">
        <x:v>572</x:v>
      </x:c>
      <x:c r="I7" t="n">
        <x:v>1260</x:v>
      </x:c>
      <x:c r="J7" t="n">
        <x:v>354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XBO-DPF-14-07</x:v>
      </x:c>
      <x:c r="B8" t="str">
        <x:v>Paper Carton Box</x:v>
      </x:c>
      <x:c r="C8" t="str">
        <x:v>Packaging</x:v>
      </x:c>
      <x:c r="D8" t="str">
        <x:v>Xbo</x:v>
      </x:c>
      <x:c r="E8" t="str">
        <x:v>Rangpur</x:v>
      </x:c>
      <x:c r="F8" t="str">
        <x:v>Rangpur DC</x:v>
      </x:c>
      <x:c r="G8" t="n">
        <x:v>3521</x:v>
      </x:c>
      <x:c r="H8" t="n">
        <x:v>630</x:v>
      </x:c>
      <x:c r="I8" t="n">
        <x:v>1364</x:v>
      </x:c>
      <x:c r="J8" t="n">
        <x:v>510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XBO-DPF-14-08</x:v>
      </x:c>
      <x:c r="B9" t="str">
        <x:v>Paper Carton Box</x:v>
      </x:c>
      <x:c r="C9" t="str">
        <x:v>Packaging</x:v>
      </x:c>
      <x:c r="D9" t="str">
        <x:v>Xbo</x:v>
      </x:c>
      <x:c r="E9" t="str">
        <x:v>Mymensingh</x:v>
      </x:c>
      <x:c r="F9" t="str">
        <x:v>Mymensingh DC</x:v>
      </x:c>
      <x:c r="G9" t="n">
        <x:v>1909</x:v>
      </x:c>
      <x:c r="H9" t="n">
        <x:v>686</x:v>
      </x:c>
      <x:c r="I9" t="n">
        <x:v>1418</x:v>
      </x:c>
      <x:c r="J9" t="n">
        <x:v>426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13</x:v>
      </x:c>
      <x:c r="G2" t="n">
        <x:v>14.5</x:v>
      </x:c>
      <x:c r="H2" t="n">
        <x:v>129184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24.4</x:v>
      </x:c>
      <x:c r="G3" t="n">
        <x:v>25.3</x:v>
      </x:c>
      <x:c r="H3" t="n">
        <x:v>73987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29.8</x:v>
      </x:c>
      <x:c r="G4" t="n">
        <x:v>31.4</x:v>
      </x:c>
      <x:c r="H4" t="n">
        <x:v>105966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17.5</x:v>
      </x:c>
      <x:c r="G5" t="n">
        <x:v>21.5</x:v>
      </x:c>
      <x:c r="H5" t="n">
        <x:v>108741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Packaging</x:v>
      </x:c>
      <x:c r="E2" t="n">
        <x:v>15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Packaging</x:v>
      </x:c>
      <x:c r="E3" t="n">
        <x:v>16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Packaging</x:v>
      </x:c>
      <x:c r="E4" t="n">
        <x:v>18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Packaging</x:v>
      </x:c>
      <x:c r="E5" t="n">
        <x:v>18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7.55</x:v>
      </x:c>
      <x:c r="C2" t="n">
        <x:v>100.15</x:v>
      </x:c>
      <x:c r="D2" t="n">
        <x:v>87.21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7.86</x:v>
      </x:c>
      <x:c r="C3" t="n">
        <x:v>100.08</x:v>
      </x:c>
      <x:c r="D3" t="n">
        <x:v>86.66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8.41</x:v>
      </x:c>
      <x:c r="C4" t="n">
        <x:v>100.78</x:v>
      </x:c>
      <x:c r="D4" t="n">
        <x:v>85.94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8.51</x:v>
      </x:c>
      <x:c r="C5" t="n">
        <x:v>100.59</x:v>
      </x:c>
      <x:c r="D5" t="n">
        <x:v>85.71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8.38</x:v>
      </x:c>
      <x:c r="C6" t="n">
        <x:v>100.41</x:v>
      </x:c>
      <x:c r="D6" t="n">
        <x:v>85.87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8.64</x:v>
      </x:c>
      <x:c r="C7" t="n">
        <x:v>102.42</x:v>
      </x:c>
      <x:c r="D7" t="n">
        <x:v>86.03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8.36</x:v>
      </x:c>
      <x:c r="C8" t="n">
        <x:v>102.68</x:v>
      </x:c>
      <x:c r="D8" t="n">
        <x:v>86.59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8.15</x:v>
      </x:c>
      <x:c r="C9" t="n">
        <x:v>101.72</x:v>
      </x:c>
      <x:c r="D9" t="n">
        <x:v>86.66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8.02</x:v>
      </x:c>
      <x:c r="C10" t="n">
        <x:v>101.81</x:v>
      </x:c>
      <x:c r="D10" t="n">
        <x:v>86.91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7.66</x:v>
      </x:c>
      <x:c r="C11" t="n">
        <x:v>102.65</x:v>
      </x:c>
      <x:c r="D11" t="n">
        <x:v>87.78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7.23</x:v>
      </x:c>
      <x:c r="C12" t="n">
        <x:v>103.39</x:v>
      </x:c>
      <x:c r="D12" t="n">
        <x:v>88.72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6.79</x:v>
      </x:c>
      <x:c r="C13" t="n">
        <x:v>102.9</x:v>
      </x:c>
      <x:c r="D13" t="n">
        <x:v>89.33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6.78</x:v>
      </x:c>
      <x:c r="C14" t="n">
        <x:v>102.83</x:v>
      </x:c>
      <x:c r="D14" t="n">
        <x:v>89.33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6.59</x:v>
      </x:c>
      <x:c r="C15" t="n">
        <x:v>104.2</x:v>
      </x:c>
      <x:c r="D15" t="n">
        <x:v>90.05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6.41</x:v>
      </x:c>
      <x:c r="C16" t="n">
        <x:v>103.53</x:v>
      </x:c>
      <x:c r="D16" t="n">
        <x:v>90.17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6.64</x:v>
      </x:c>
      <x:c r="C17" t="n">
        <x:v>103.99</x:v>
      </x:c>
      <x:c r="D17" t="n">
        <x:v>89.91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6.33</x:v>
      </x:c>
      <x:c r="C18" t="n">
        <x:v>104.12</x:v>
      </x:c>
      <x:c r="D18" t="n">
        <x:v>90.48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6.84</x:v>
      </x:c>
      <x:c r="C19" t="n">
        <x:v>106.02</x:v>
      </x:c>
      <x:c r="D19" t="n">
        <x:v>90.17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11</x:v>
      </x:c>
      <x:c r="F2" t="n">
        <x:v>4</x:v>
      </x:c>
      <x:c r="G2" t="n">
        <x:v>2</x:v>
      </x:c>
      <x:c r="H2" t="n">
        <x:v>20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11</x:v>
      </x:c>
      <x:c r="F3" t="n">
        <x:v>2</x:v>
      </x:c>
      <x:c r="G3" t="n">
        <x:v>5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3</x:v>
      </x:c>
      <x:c r="E4" t="n">
        <x:v>32</x:v>
      </x:c>
      <x:c r="F4" t="n">
        <x:v>8</x:v>
      </x:c>
      <x:c r="G4" t="n">
        <x:v>4</x:v>
      </x:c>
      <x:c r="H4" t="n">
        <x:v>47</x:v>
      </x:c>
      <x:c r="I4" t="str">
        <x:v>Yes</x:v>
      </x:c>
      <x:c r="J4" t="str">
        <x:v>Supplier production delay</x:v>
      </x:c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8</x:v>
      </x:c>
      <x:c r="F5" t="n">
        <x:v>5</x:v>
      </x:c>
      <x:c r="G5" t="n">
        <x:v>3</x:v>
      </x:c>
      <x:c r="H5" t="n">
        <x:v>18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3361</x:v>
      </x:c>
      <x:c r="C2" t="n">
        <x:v>3843</x:v>
      </x:c>
      <x:c r="D2" t="n">
        <x:f>C2-B2</x:f>
        <x:v>482</x:v>
      </x:c>
      <x:c r="E2" t="n">
        <x:f>ABS(D2)</x:f>
        <x:v>482</x:v>
      </x:c>
      <x:c r="F2" s="22" t="n">
        <x:f>IFERROR(E2/C2,0)</x:f>
        <x:v>0.12542284673432214</x:v>
      </x:c>
      <x:c r="G2" t="str">
        <x:v>Formula columns should calculate error and accuracy</x:v>
      </x:c>
    </x:row>
    <x:row r="3">
      <x:c r="A3" t="n">
        <x:v>45505</x:v>
      </x:c>
      <x:c r="B3" t="n">
        <x:v>2978</x:v>
      </x:c>
      <x:c r="C3" t="n">
        <x:v>2563</x:v>
      </x:c>
      <x:c r="D3" t="n">
        <x:f>C3-B3</x:f>
        <x:v>-415</x:v>
      </x:c>
      <x:c r="E3" t="n">
        <x:f>ABS(D3)</x:f>
        <x:v>415</x:v>
      </x:c>
      <x:c r="F3" s="22" t="n">
        <x:f>IFERROR(E3/C3,0)</x:f>
        <x:v>0.16191962543893873</x:v>
      </x:c>
      <x:c r="G3" t="str">
        <x:v>Formula columns should calculate error and accuracy</x:v>
      </x:c>
    </x:row>
    <x:row r="4">
      <x:c r="A4" t="n">
        <x:v>45536</x:v>
      </x:c>
      <x:c r="B4" t="n">
        <x:v>3576</x:v>
      </x:c>
      <x:c r="C4" t="n">
        <x:v>3200</x:v>
      </x:c>
      <x:c r="D4" t="n">
        <x:f>C4-B4</x:f>
        <x:v>-376</x:v>
      </x:c>
      <x:c r="E4" t="n">
        <x:f>ABS(D4)</x:f>
        <x:v>376</x:v>
      </x:c>
      <x:c r="F4" s="22" t="n">
        <x:f>IFERROR(E4/C4,0)</x:f>
        <x:v>0.1175</x:v>
      </x:c>
      <x:c r="G4" t="str">
        <x:v>Formula columns should calculate error and accuracy</x:v>
      </x:c>
    </x:row>
    <x:row r="5">
      <x:c r="A5" t="n">
        <x:v>45566</x:v>
      </x:c>
      <x:c r="B5" t="n">
        <x:v>3274</x:v>
      </x:c>
      <x:c r="C5" t="n">
        <x:v>3284</x:v>
      </x:c>
      <x:c r="D5" t="n">
        <x:f>C5-B5</x:f>
        <x:v>10</x:v>
      </x:c>
      <x:c r="E5" t="n">
        <x:f>ABS(D5)</x:f>
        <x:v>10</x:v>
      </x:c>
      <x:c r="F5" s="22" t="n">
        <x:f>IFERROR(E5/C5,0)</x:f>
        <x:v>0.0030450669914738123</x:v>
      </x:c>
      <x:c r="G5" t="str">
        <x:v>Formula columns should calculate error and accuracy</x:v>
      </x:c>
    </x:row>
    <x:row r="6">
      <x:c r="A6" t="n">
        <x:v>45597</x:v>
      </x:c>
      <x:c r="B6" t="n">
        <x:v>3292</x:v>
      </x:c>
      <x:c r="C6" t="n">
        <x:v>3835</x:v>
      </x:c>
      <x:c r="D6" t="n">
        <x:f>C6-B6</x:f>
        <x:v>543</x:v>
      </x:c>
      <x:c r="E6" t="n">
        <x:f>ABS(D6)</x:f>
        <x:v>543</x:v>
      </x:c>
      <x:c r="F6" s="22" t="n">
        <x:f>IFERROR(E6/C6,0)</x:f>
        <x:v>0.14159061277705345</x:v>
      </x:c>
      <x:c r="G6" t="str">
        <x:v>Formula columns should calculate error and accuracy</x:v>
      </x:c>
    </x:row>
    <x:row r="7">
      <x:c r="A7" t="n">
        <x:v>45627</x:v>
      </x:c>
      <x:c r="B7" t="n">
        <x:v>3540</x:v>
      </x:c>
      <x:c r="C7" t="n">
        <x:v>3808</x:v>
      </x:c>
      <x:c r="D7" t="n">
        <x:f>C7-B7</x:f>
        <x:v>268</x:v>
      </x:c>
      <x:c r="E7" t="n">
        <x:f>ABS(D7)</x:f>
        <x:v>268</x:v>
      </x:c>
      <x:c r="F7" s="22" t="n">
        <x:f>IFERROR(E7/C7,0)</x:f>
        <x:v>0.0703781512605042</x:v>
      </x:c>
      <x:c r="G7" t="str">
        <x:v>Formula columns should calculate error and accuracy</x:v>
      </x:c>
    </x:row>
    <x:row r="8">
      <x:c r="A8" t="n">
        <x:v>45658</x:v>
      </x:c>
      <x:c r="B8" t="n">
        <x:v>3654</x:v>
      </x:c>
      <x:c r="C8" t="n">
        <x:v>3890</x:v>
      </x:c>
      <x:c r="D8" t="n">
        <x:f>C8-B8</x:f>
        <x:v>236</x:v>
      </x:c>
      <x:c r="E8" t="n">
        <x:f>ABS(D8)</x:f>
        <x:v>236</x:v>
      </x:c>
      <x:c r="F8" s="22" t="n">
        <x:f>IFERROR(E8/C8,0)</x:f>
        <x:v>0.060668380462724936</x:v>
      </x:c>
      <x:c r="G8" t="str">
        <x:v>Formula columns should calculate error and accuracy</x:v>
      </x:c>
    </x:row>
    <x:row r="9">
      <x:c r="A9" t="n">
        <x:v>45689</x:v>
      </x:c>
      <x:c r="B9" t="n">
        <x:v>3711</x:v>
      </x:c>
      <x:c r="C9" t="n">
        <x:v>3559</x:v>
      </x:c>
      <x:c r="D9" t="n">
        <x:f>C9-B9</x:f>
        <x:v>-152</x:v>
      </x:c>
      <x:c r="E9" t="n">
        <x:f>ABS(D9)</x:f>
        <x:v>152</x:v>
      </x:c>
      <x:c r="F9" s="22" t="n">
        <x:f>IFERROR(E9/C9,0)</x:f>
        <x:v>0.042708626018544533</x:v>
      </x:c>
      <x:c r="G9" t="str">
        <x:v>Formula columns should calculate error and accuracy</x:v>
      </x:c>
    </x:row>
    <x:row r="10">
      <x:c r="A10" t="n">
        <x:v>45717</x:v>
      </x:c>
      <x:c r="B10" t="n">
        <x:v>3969</x:v>
      </x:c>
      <x:c r="C10" t="n">
        <x:v>4235</x:v>
      </x:c>
      <x:c r="D10" t="n">
        <x:f>C10-B10</x:f>
        <x:v>266</x:v>
      </x:c>
      <x:c r="E10" t="n">
        <x:f>ABS(D10)</x:f>
        <x:v>266</x:v>
      </x:c>
      <x:c r="F10" s="22" t="n">
        <x:f>IFERROR(E10/C10,0)</x:f>
        <x:v>0.0628099173553719</x:v>
      </x:c>
      <x:c r="G10" t="str">
        <x:v>Formula columns should calculate error and accuracy</x:v>
      </x:c>
    </x:row>
    <x:row r="11">
      <x:c r="A11" t="n">
        <x:v>45748</x:v>
      </x:c>
      <x:c r="B11" t="n">
        <x:v>4013</x:v>
      </x:c>
      <x:c r="C11" t="n">
        <x:v>4424</x:v>
      </x:c>
      <x:c r="D11" t="n">
        <x:f>C11-B11</x:f>
        <x:v>411</x:v>
      </x:c>
      <x:c r="E11" t="n">
        <x:f>ABS(D11)</x:f>
        <x:v>411</x:v>
      </x:c>
      <x:c r="F11" s="22" t="n">
        <x:f>IFERROR(E11/C11,0)</x:f>
        <x:v>0.09290235081374322</x:v>
      </x:c>
      <x:c r="G11" t="str">
        <x:v>Formula columns should calculate error and accuracy</x:v>
      </x:c>
    </x:row>
    <x:row r="12">
      <x:c r="A12" t="n">
        <x:v>45778</x:v>
      </x:c>
      <x:c r="B12" t="n">
        <x:v>3684</x:v>
      </x:c>
      <x:c r="C12" t="n">
        <x:v>3926</x:v>
      </x:c>
      <x:c r="D12" t="n">
        <x:f>C12-B12</x:f>
        <x:v>242</x:v>
      </x:c>
      <x:c r="E12" t="n">
        <x:f>ABS(D12)</x:f>
        <x:v>242</x:v>
      </x:c>
      <x:c r="F12" s="22" t="n">
        <x:f>IFERROR(E12/C12,0)</x:f>
        <x:v>0.06164034640855833</x:v>
      </x:c>
      <x:c r="G12" t="str">
        <x:v>Formula columns should calculate error and accuracy</x:v>
      </x:c>
    </x:row>
    <x:row r="13">
      <x:c r="A13" t="n">
        <x:v>45809</x:v>
      </x:c>
      <x:c r="B13" t="n">
        <x:v>3580</x:v>
      </x:c>
      <x:c r="C13" t="n">
        <x:v>3127</x:v>
      </x:c>
      <x:c r="D13" t="n">
        <x:f>C13-B13</x:f>
        <x:v>-453</x:v>
      </x:c>
      <x:c r="E13" t="n">
        <x:f>ABS(D13)</x:f>
        <x:v>453</x:v>
      </x:c>
      <x:c r="F13" s="22" t="n">
        <x:f>IFERROR(E13/C13,0)</x:f>
        <x:v>0.14486728493763992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60</x:v>
      </x:c>
      <x:c r="E2" t="n">
        <x:v>1669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52</x:v>
      </x:c>
      <x:c r="E3" t="n">
        <x:v>1400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89</x:v>
      </x:c>
      <x:c r="E4" t="n">
        <x:v>2337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69</x:v>
      </x:c>
      <x:c r="E5" t="n">
        <x:v>2118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53</x:v>
      </x:c>
      <x:c r="E6" t="n">
        <x:v>1759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72</x:v>
      </x:c>
      <x:c r="E7" t="n">
        <x:v>1942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85</x:v>
      </x:c>
      <x:c r="E8" t="n">
        <x:v>2771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86</x:v>
      </x:c>
      <x:c r="E9" t="n">
        <x:v>3345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22</x:v>
      </x:c>
      <x:c r="I2" t="str">
        <x:v>High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9</x:v>
      </x:c>
      <x:c r="F2" t="n">
        <x:v>146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Monthly</x:v>
      </x:c>
      <x:c r="E3" t="n">
        <x:v>3</x:v>
      </x:c>
      <x:c r="F3" t="n">
        <x:v>49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Festival-based</x:v>
      </x:c>
      <x:c r="E4" t="n">
        <x:v>1</x:v>
      </x:c>
      <x:c r="F4" t="n">
        <x:v>24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8</x:v>
      </x:c>
      <x:c r="F5" t="n">
        <x:v>127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9</x:v>
      </x:c>
      <x:c r="F6" t="n">
        <x:v>179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176</x:v>
      </x:c>
      <x:c r="F2" t="n">
        <x:v>88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145</x:v>
      </x:c>
      <x:c r="F3" t="n">
        <x:v>83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66</x:v>
      </x:c>
      <x:c r="F4" t="n">
        <x:v>85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10</x:v>
      </x:c>
      <x:c r="F5" t="n">
        <x:v>62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Paper Carton Box Xbo Packaging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Paper Carton Box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Packaging competitor pricing promotions Bangladesh Xbo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Paper Carton Box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78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60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84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