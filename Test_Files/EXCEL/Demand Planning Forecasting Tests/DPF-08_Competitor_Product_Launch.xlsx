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c8185655e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e8bc311602b44a24"/>
    <x:sheet xmlns:r="http://schemas.openxmlformats.org/officeDocument/2006/relationships" name="Historical_Sales" sheetId="2" r:id="R1a5df3ffb987416c"/>
    <x:sheet xmlns:r="http://schemas.openxmlformats.org/officeDocument/2006/relationships" name="Inventory" sheetId="3" r:id="R54770bf712c44734"/>
    <x:sheet xmlns:r="http://schemas.openxmlformats.org/officeDocument/2006/relationships" name="Promotions" sheetId="4" r:id="R2206c93967084376"/>
    <x:sheet xmlns:r="http://schemas.openxmlformats.org/officeDocument/2006/relationships" name="Competitors" sheetId="5" r:id="R93dd42619e0e47d1"/>
    <x:sheet xmlns:r="http://schemas.openxmlformats.org/officeDocument/2006/relationships" name="Economic" sheetId="6" r:id="Rcba87b357bc547bd"/>
    <x:sheet xmlns:r="http://schemas.openxmlformats.org/officeDocument/2006/relationships" name="Lead_Time" sheetId="7" r:id="R73a2582abf1b49b4"/>
    <x:sheet xmlns:r="http://schemas.openxmlformats.org/officeDocument/2006/relationships" name="Forecast_Actual" sheetId="8" r:id="R5eff6164860d4930"/>
    <x:sheet xmlns:r="http://schemas.openxmlformats.org/officeDocument/2006/relationships" name="Regional_Demand_Map" sheetId="9" r:id="Rd066421d01314234"/>
    <x:sheet xmlns:r="http://schemas.openxmlformats.org/officeDocument/2006/relationships" name="SCM_Flow_Map" sheetId="10" r:id="Rd4d7bff165e0416d"/>
    <x:sheet xmlns:r="http://schemas.openxmlformats.org/officeDocument/2006/relationships" name="Customer_Patterns" sheetId="11" r:id="R73ae11407d884c72"/>
    <x:sheet xmlns:r="http://schemas.openxmlformats.org/officeDocument/2006/relationships" name="Technology_Data" sheetId="12" r:id="Ra91744ac975343a7"/>
    <x:sheet xmlns:r="http://schemas.openxmlformats.org/officeDocument/2006/relationships" name="Web_Search_Seeds" sheetId="13" r:id="Re8251c74ae214d14"/>
    <x:sheet xmlns:r="http://schemas.openxmlformats.org/officeDocument/2006/relationships" name="Manual_Expert_Opinion" sheetId="14" r:id="R070beb2300334703"/>
    <x:sheet xmlns:r="http://schemas.openxmlformats.org/officeDocument/2006/relationships" name="Data_Issues" sheetId="15" r:id="R9fdb0d41b60f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e5dc90b4f4027" /><Relationship Type="http://schemas.openxmlformats.org/officeDocument/2006/relationships/theme" Target="/xl/theme/theme1.xml" Id="R7ba436d2fdb640b0" /><Relationship Type="http://schemas.openxmlformats.org/officeDocument/2006/relationships/sharedStrings" Target="/xl/sharedStrings.xml" Id="Rfd43d95ee22a4f86" /><Relationship Type="http://schemas.openxmlformats.org/officeDocument/2006/relationships/worksheet" Target="/xl/worksheets/sheet1.xml" Id="Re8bc311602b44a24" /><Relationship Type="http://schemas.openxmlformats.org/officeDocument/2006/relationships/worksheet" Target="/xl/worksheets/sheet2.xml" Id="R1a5df3ffb987416c" /><Relationship Type="http://schemas.openxmlformats.org/officeDocument/2006/relationships/worksheet" Target="/xl/worksheets/sheet3.xml" Id="R54770bf712c44734" /><Relationship Type="http://schemas.openxmlformats.org/officeDocument/2006/relationships/worksheet" Target="/xl/worksheets/sheet4.xml" Id="R2206c93967084376" /><Relationship Type="http://schemas.openxmlformats.org/officeDocument/2006/relationships/worksheet" Target="/xl/worksheets/sheet5.xml" Id="R93dd42619e0e47d1" /><Relationship Type="http://schemas.openxmlformats.org/officeDocument/2006/relationships/worksheet" Target="/xl/worksheets/sheet6.xml" Id="Rcba87b357bc547bd" /><Relationship Type="http://schemas.openxmlformats.org/officeDocument/2006/relationships/worksheet" Target="/xl/worksheets/sheet7.xml" Id="R73a2582abf1b49b4" /><Relationship Type="http://schemas.openxmlformats.org/officeDocument/2006/relationships/worksheet" Target="/xl/worksheets/sheet8.xml" Id="R5eff6164860d4930" /><Relationship Type="http://schemas.openxmlformats.org/officeDocument/2006/relationships/worksheet" Target="/xl/worksheets/sheet9.xml" Id="Rd066421d01314234" /><Relationship Type="http://schemas.openxmlformats.org/officeDocument/2006/relationships/worksheet" Target="/xl/worksheets/sheet10.xml" Id="Rd4d7bff165e0416d" /><Relationship Type="http://schemas.openxmlformats.org/officeDocument/2006/relationships/worksheet" Target="/xl/worksheets/sheet11.xml" Id="R73ae11407d884c72" /><Relationship Type="http://schemas.openxmlformats.org/officeDocument/2006/relationships/worksheet" Target="/xl/worksheets/sheet12.xml" Id="Ra91744ac975343a7" /><Relationship Type="http://schemas.openxmlformats.org/officeDocument/2006/relationships/worksheet" Target="/xl/worksheets/sheet13.xml" Id="Re8251c74ae214d14" /><Relationship Type="http://schemas.openxmlformats.org/officeDocument/2006/relationships/worksheet" Target="/xl/worksheets/sheet14.xml" Id="R070beb2300334703" /><Relationship Type="http://schemas.openxmlformats.org/officeDocument/2006/relationships/worksheet" Target="/xl/worksheets/sheet15.xml" Id="R9fdb0d41b60f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DPF-08</x:v>
      </x:c>
    </x:row>
    <x:row r="3">
      <x:c r="A3" t="str">
        <x:v>Scenario Title</x:v>
      </x:c>
      <x:c r="B3" t="str">
        <x:v>Competitor Product Launch</x:v>
      </x:c>
    </x:row>
    <x:row r="4">
      <x:c r="A4" t="str">
        <x:v>Purpose</x:v>
      </x:c>
      <x:c r="B4" t="str">
        <x:v>Test impact of new rival product launch.</x:v>
      </x:c>
    </x:row>
    <x:row r="5">
      <x:c r="A5" t="str">
        <x:v>Product Name</x:v>
      </x:c>
      <x:c r="B5" t="str">
        <x:v>Soft Drink 250ml</x:v>
      </x:c>
    </x:row>
    <x:row r="6">
      <x:c r="A6" t="str">
        <x:v>Category</x:v>
      </x:c>
      <x:c r="B6" t="str">
        <x:v>Beverage</x:v>
      </x:c>
    </x:row>
    <x:row r="7">
      <x:c r="A7" t="str">
        <x:v>Brand</x:v>
      </x:c>
      <x:c r="B7" t="str">
        <x:v>Coca-Cola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Competitor Activities, Market Trends</x:v>
      </x:c>
    </x:row>
    <x:row r="11">
      <x:c r="A11" t="str">
        <x:v>Recommended Inputs To Tick</x:v>
      </x:c>
      <x:c r="B11" t="str">
        <x:v>Competitor Activities, Online Web Search Data, Market Trends</x:v>
      </x:c>
    </x:row>
    <x:row r="12">
      <x:c r="A12" t="str">
        <x:v>Recommended Outputs To Tick</x:v>
      </x:c>
      <x:c r="B12" t="str">
        <x:v>Competitor Activity Analysis, Market Trend Analysis, Action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Soft Drink 250ml</x:v>
      </x:c>
      <x:c r="C2" t="str">
        <x:v>Beverage</x:v>
      </x:c>
      <x:c r="D2" t="str">
        <x:v>Coca-Cola</x:v>
      </x:c>
      <x:c r="E2" t="str">
        <x:v>Dhaka</x:v>
      </x:c>
      <x:c r="F2" t="str">
        <x:v>Retail</x:v>
      </x:c>
      <x:c r="G2" t="n">
        <x:v>4010</x:v>
      </x:c>
      <x:c r="H2" t="n">
        <x:v>40</x:v>
      </x:c>
      <x:c r="I2" t="n">
        <x:v>160400</x:v>
      </x:c>
      <x:c r="J2" t="str"/>
    </x:row>
    <x:row r="3">
      <x:c r="A3" t="n">
        <x:v>45323</x:v>
      </x:c>
      <x:c r="B3" t="str">
        <x:v>Soft Drink 250ml</x:v>
      </x:c>
      <x:c r="C3" t="str">
        <x:v>Beverage</x:v>
      </x:c>
      <x:c r="D3" t="str">
        <x:v>Coca-Cola</x:v>
      </x:c>
      <x:c r="E3" t="str">
        <x:v>Chattogram</x:v>
      </x:c>
      <x:c r="F3" t="str">
        <x:v>Online</x:v>
      </x:c>
      <x:c r="G3" t="n">
        <x:v>4456</x:v>
      </x:c>
      <x:c r="H3" t="n">
        <x:v>40</x:v>
      </x:c>
      <x:c r="I3" t="n">
        <x:v>178240</x:v>
      </x:c>
      <x:c r="J3" t="str"/>
    </x:row>
    <x:row r="4">
      <x:c r="A4" t="n">
        <x:v>45352</x:v>
      </x:c>
      <x:c r="B4" t="str">
        <x:v>Soft Drink 250ml</x:v>
      </x:c>
      <x:c r="C4" t="str">
        <x:v>Beverage</x:v>
      </x:c>
      <x:c r="D4" t="str">
        <x:v>Coca-Cola</x:v>
      </x:c>
      <x:c r="E4" t="str">
        <x:v>Sylhet</x:v>
      </x:c>
      <x:c r="F4" t="str">
        <x:v>Wholesale</x:v>
      </x:c>
      <x:c r="G4" t="n">
        <x:v>3971</x:v>
      </x:c>
      <x:c r="H4" t="n">
        <x:v>40</x:v>
      </x:c>
      <x:c r="I4" t="n">
        <x:v>158840</x:v>
      </x:c>
      <x:c r="J4" t="str"/>
    </x:row>
    <x:row r="5">
      <x:c r="A5" t="n">
        <x:v>45383</x:v>
      </x:c>
      <x:c r="B5" t="str">
        <x:v>Soft Drink 250ml</x:v>
      </x:c>
      <x:c r="C5" t="str">
        <x:v>Beverage</x:v>
      </x:c>
      <x:c r="D5" t="str">
        <x:v>Coca-Cola</x:v>
      </x:c>
      <x:c r="E5" t="str">
        <x:v>Rajshahi</x:v>
      </x:c>
      <x:c r="F5" t="str">
        <x:v>Modern Trade</x:v>
      </x:c>
      <x:c r="G5" t="n">
        <x:v>4408</x:v>
      </x:c>
      <x:c r="H5" t="n">
        <x:v>40</x:v>
      </x:c>
      <x:c r="I5" t="n">
        <x:v>176320</x:v>
      </x:c>
      <x:c r="J5" t="str"/>
    </x:row>
    <x:row r="6">
      <x:c r="A6" t="n">
        <x:v>45413</x:v>
      </x:c>
      <x:c r="B6" t="str">
        <x:v>Soft Drink 250ml</x:v>
      </x:c>
      <x:c r="C6" t="str">
        <x:v>Beverage</x:v>
      </x:c>
      <x:c r="D6" t="str">
        <x:v>Coca-Cola</x:v>
      </x:c>
      <x:c r="E6" t="str">
        <x:v>Khulna</x:v>
      </x:c>
      <x:c r="F6" t="str">
        <x:v>Retail</x:v>
      </x:c>
      <x:c r="G6" t="n">
        <x:v>4565</x:v>
      </x:c>
      <x:c r="H6" t="n">
        <x:v>40</x:v>
      </x:c>
      <x:c r="I6" t="n">
        <x:v>182600</x:v>
      </x:c>
      <x:c r="J6" t="str"/>
    </x:row>
    <x:row r="7">
      <x:c r="A7" t="n">
        <x:v>45444</x:v>
      </x:c>
      <x:c r="B7" t="str">
        <x:v>Soft Drink 250ml</x:v>
      </x:c>
      <x:c r="C7" t="str">
        <x:v>Beverage</x:v>
      </x:c>
      <x:c r="D7" t="str">
        <x:v>Coca-Cola</x:v>
      </x:c>
      <x:c r="E7" t="str">
        <x:v>Barishal</x:v>
      </x:c>
      <x:c r="F7" t="str">
        <x:v>Online</x:v>
      </x:c>
      <x:c r="G7" t="n">
        <x:v>4625</x:v>
      </x:c>
      <x:c r="H7" t="n">
        <x:v>40</x:v>
      </x:c>
      <x:c r="I7" t="n">
        <x:v>185000</x:v>
      </x:c>
      <x:c r="J7" t="str"/>
    </x:row>
    <x:row r="8">
      <x:c r="A8" t="n">
        <x:v>45474</x:v>
      </x:c>
      <x:c r="B8" t="str">
        <x:v>Soft Drink 250ml</x:v>
      </x:c>
      <x:c r="C8" t="str">
        <x:v>Beverage</x:v>
      </x:c>
      <x:c r="D8" t="str">
        <x:v>Coca-Cola</x:v>
      </x:c>
      <x:c r="E8" t="str">
        <x:v>Rangpur</x:v>
      </x:c>
      <x:c r="F8" t="str">
        <x:v>Wholesale</x:v>
      </x:c>
      <x:c r="G8" t="n">
        <x:v>4084</x:v>
      </x:c>
      <x:c r="H8" t="n">
        <x:v>40</x:v>
      </x:c>
      <x:c r="I8" t="n">
        <x:v>163360</x:v>
      </x:c>
      <x:c r="J8" t="str"/>
    </x:row>
    <x:row r="9">
      <x:c r="A9" t="n">
        <x:v>45505</x:v>
      </x:c>
      <x:c r="B9" t="str">
        <x:v>Soft Drink 250ml</x:v>
      </x:c>
      <x:c r="C9" t="str">
        <x:v>Beverage</x:v>
      </x:c>
      <x:c r="D9" t="str">
        <x:v>Coca-Cola</x:v>
      </x:c>
      <x:c r="E9" t="str">
        <x:v>Mymensingh</x:v>
      </x:c>
      <x:c r="F9" t="str">
        <x:v>Modern Trade</x:v>
      </x:c>
      <x:c r="G9" t="n">
        <x:v>4045</x:v>
      </x:c>
      <x:c r="H9" t="n">
        <x:v>40</x:v>
      </x:c>
      <x:c r="I9" t="n">
        <x:v>161800</x:v>
      </x:c>
      <x:c r="J9" t="str"/>
    </x:row>
    <x:row r="10">
      <x:c r="A10" t="n">
        <x:v>45536</x:v>
      </x:c>
      <x:c r="B10" t="str">
        <x:v>Soft Drink 250ml</x:v>
      </x:c>
      <x:c r="C10" t="str">
        <x:v>Beverage</x:v>
      </x:c>
      <x:c r="D10" t="str">
        <x:v>Coca-Cola</x:v>
      </x:c>
      <x:c r="E10" t="str">
        <x:v>Dhaka</x:v>
      </x:c>
      <x:c r="F10" t="str">
        <x:v>Retail</x:v>
      </x:c>
      <x:c r="G10" t="n">
        <x:v>4155</x:v>
      </x:c>
      <x:c r="H10" t="n">
        <x:v>40</x:v>
      </x:c>
      <x:c r="I10" t="n">
        <x:v>166200</x:v>
      </x:c>
      <x:c r="J10" t="str"/>
    </x:row>
    <x:row r="11">
      <x:c r="A11" t="n">
        <x:v>45566</x:v>
      </x:c>
      <x:c r="B11" t="str">
        <x:v>Soft Drink 250ml</x:v>
      </x:c>
      <x:c r="C11" t="str">
        <x:v>Beverage</x:v>
      </x:c>
      <x:c r="D11" t="str">
        <x:v>Coca-Cola</x:v>
      </x:c>
      <x:c r="E11" t="str">
        <x:v>Chattogram</x:v>
      </x:c>
      <x:c r="F11" t="str">
        <x:v>Online</x:v>
      </x:c>
      <x:c r="G11" t="n">
        <x:v>4652</x:v>
      </x:c>
      <x:c r="H11" t="n">
        <x:v>40</x:v>
      </x:c>
      <x:c r="I11" t="n">
        <x:v>186080</x:v>
      </x:c>
      <x:c r="J11" t="str"/>
    </x:row>
    <x:row r="12">
      <x:c r="A12" t="n">
        <x:v>45597</x:v>
      </x:c>
      <x:c r="B12" t="str">
        <x:v>Soft Drink 250ml</x:v>
      </x:c>
      <x:c r="C12" t="str">
        <x:v>Beverage</x:v>
      </x:c>
      <x:c r="D12" t="str">
        <x:v>Coca-Cola</x:v>
      </x:c>
      <x:c r="E12" t="str">
        <x:v>Sylhet</x:v>
      </x:c>
      <x:c r="F12" t="str">
        <x:v>Wholesale</x:v>
      </x:c>
      <x:c r="G12" t="n">
        <x:v>4887</x:v>
      </x:c>
      <x:c r="H12" t="n">
        <x:v>40</x:v>
      </x:c>
      <x:c r="I12" t="n">
        <x:v>195480</x:v>
      </x:c>
      <x:c r="J12" t="str"/>
    </x:row>
    <x:row r="13">
      <x:c r="A13" t="n">
        <x:v>45627</x:v>
      </x:c>
      <x:c r="B13" t="str">
        <x:v>Soft Drink 250ml</x:v>
      </x:c>
      <x:c r="C13" t="str">
        <x:v>Beverage</x:v>
      </x:c>
      <x:c r="D13" t="str">
        <x:v>Coca-Cola</x:v>
      </x:c>
      <x:c r="E13" t="str">
        <x:v>Rajshahi</x:v>
      </x:c>
      <x:c r="F13" t="str">
        <x:v>Modern Trade</x:v>
      </x:c>
      <x:c r="G13" t="n">
        <x:v>4834</x:v>
      </x:c>
      <x:c r="H13" t="n">
        <x:v>40</x:v>
      </x:c>
      <x:c r="I13" t="n">
        <x:v>193360</x:v>
      </x:c>
      <x:c r="J13" t="str"/>
    </x:row>
    <x:row r="14">
      <x:c r="A14" t="n">
        <x:v>45658</x:v>
      </x:c>
      <x:c r="B14" t="str">
        <x:v>Soft Drink 250ml</x:v>
      </x:c>
      <x:c r="C14" t="str">
        <x:v>Beverage</x:v>
      </x:c>
      <x:c r="D14" t="str">
        <x:v>Coca-Cola</x:v>
      </x:c>
      <x:c r="E14" t="str">
        <x:v>Khulna</x:v>
      </x:c>
      <x:c r="F14" t="str">
        <x:v>Retail</x:v>
      </x:c>
      <x:c r="G14" t="n">
        <x:v>4354</x:v>
      </x:c>
      <x:c r="H14" t="n">
        <x:v>40</x:v>
      </x:c>
      <x:c r="I14" t="n">
        <x:v>174160</x:v>
      </x:c>
      <x:c r="J14" t="str"/>
    </x:row>
    <x:row r="15">
      <x:c r="A15" t="n">
        <x:v>45689</x:v>
      </x:c>
      <x:c r="B15" t="str">
        <x:v>Soft Drink 250ml</x:v>
      </x:c>
      <x:c r="C15" t="str">
        <x:v>Beverage</x:v>
      </x:c>
      <x:c r="D15" t="str">
        <x:v>Coca-Cola</x:v>
      </x:c>
      <x:c r="E15" t="str">
        <x:v>Barishal</x:v>
      </x:c>
      <x:c r="F15" t="str">
        <x:v>Online</x:v>
      </x:c>
      <x:c r="G15" t="n">
        <x:v>5093</x:v>
      </x:c>
      <x:c r="H15" t="n">
        <x:v>40</x:v>
      </x:c>
      <x:c r="I15" t="n">
        <x:v>203720</x:v>
      </x:c>
      <x:c r="J15" t="str"/>
    </x:row>
    <x:row r="16">
      <x:c r="A16" t="n">
        <x:v>45717</x:v>
      </x:c>
      <x:c r="B16" t="str">
        <x:v>Soft Drink 250ml</x:v>
      </x:c>
      <x:c r="C16" t="str">
        <x:v>Beverage</x:v>
      </x:c>
      <x:c r="D16" t="str">
        <x:v>Coca-Cola</x:v>
      </x:c>
      <x:c r="E16" t="str">
        <x:v>Rangpur</x:v>
      </x:c>
      <x:c r="F16" t="str">
        <x:v>Wholesale</x:v>
      </x:c>
      <x:c r="G16" t="n">
        <x:v>4833</x:v>
      </x:c>
      <x:c r="H16" t="n">
        <x:v>40</x:v>
      </x:c>
      <x:c r="I16" t="n">
        <x:v>193320</x:v>
      </x:c>
      <x:c r="J16" t="str"/>
    </x:row>
    <x:row r="17">
      <x:c r="A17" t="n">
        <x:v>45748</x:v>
      </x:c>
      <x:c r="B17" t="str">
        <x:v>Soft Drink 250ml</x:v>
      </x:c>
      <x:c r="C17" t="str">
        <x:v>Beverage</x:v>
      </x:c>
      <x:c r="D17" t="str">
        <x:v>Coca-Cola</x:v>
      </x:c>
      <x:c r="E17" t="str">
        <x:v>Mymensingh</x:v>
      </x:c>
      <x:c r="F17" t="str">
        <x:v>Modern Trade</x:v>
      </x:c>
      <x:c r="G17" t="n">
        <x:v>5199</x:v>
      </x:c>
      <x:c r="H17" t="n">
        <x:v>40</x:v>
      </x:c>
      <x:c r="I17" t="n">
        <x:v>207960</x:v>
      </x:c>
      <x:c r="J17" t="str"/>
    </x:row>
    <x:row r="18">
      <x:c r="A18" t="n">
        <x:v>45778</x:v>
      </x:c>
      <x:c r="B18" t="str">
        <x:v>Soft Drink 250ml</x:v>
      </x:c>
      <x:c r="C18" t="str">
        <x:v>Beverage</x:v>
      </x:c>
      <x:c r="D18" t="str">
        <x:v>Coca-Cola</x:v>
      </x:c>
      <x:c r="E18" t="str">
        <x:v>Dhaka</x:v>
      </x:c>
      <x:c r="F18" t="str">
        <x:v>Retail</x:v>
      </x:c>
      <x:c r="G18" t="n">
        <x:v>5269</x:v>
      </x:c>
      <x:c r="H18" t="n">
        <x:v>40</x:v>
      </x:c>
      <x:c r="I18" t="n">
        <x:v>210760</x:v>
      </x:c>
      <x:c r="J18" t="str"/>
    </x:row>
    <x:row r="19">
      <x:c r="A19" t="n">
        <x:v>45809</x:v>
      </x:c>
      <x:c r="B19" t="str">
        <x:v>Soft Drink 250ml</x:v>
      </x:c>
      <x:c r="C19" t="str">
        <x:v>Beverage</x:v>
      </x:c>
      <x:c r="D19" t="str">
        <x:v>Coca-Cola</x:v>
      </x:c>
      <x:c r="E19" t="str">
        <x:v>Chattogram</x:v>
      </x:c>
      <x:c r="F19" t="str">
        <x:v>Online</x:v>
      </x:c>
      <x:c r="G19" t="n">
        <x:v>4958</x:v>
      </x:c>
      <x:c r="H19" t="n">
        <x:v>40</x:v>
      </x:c>
      <x:c r="I19" t="n">
        <x:v>198320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COC-DPF-08-01</x:v>
      </x:c>
      <x:c r="B2" t="str">
        <x:v>Soft Drink 250ml</x:v>
      </x:c>
      <x:c r="C2" t="str">
        <x:v>Beverage</x:v>
      </x:c>
      <x:c r="D2" t="str">
        <x:v>Coca-Cola</x:v>
      </x:c>
      <x:c r="E2" t="str">
        <x:v>Dhaka</x:v>
      </x:c>
      <x:c r="F2" t="str">
        <x:v>Dhaka DC</x:v>
      </x:c>
      <x:c r="G2" t="n">
        <x:v>3532</x:v>
      </x:c>
      <x:c r="H2" t="n">
        <x:v>595</x:v>
      </x:c>
      <x:c r="I2" t="n">
        <x:v>1358</x:v>
      </x:c>
      <x:c r="J2" t="n">
        <x:v>418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COC-DPF-08-02</x:v>
      </x:c>
      <x:c r="B3" t="str">
        <x:v>Soft Drink 250ml</x:v>
      </x:c>
      <x:c r="C3" t="str">
        <x:v>Beverage</x:v>
      </x:c>
      <x:c r="D3" t="str">
        <x:v>Coca-Cola</x:v>
      </x:c>
      <x:c r="E3" t="str">
        <x:v>Chattogram</x:v>
      </x:c>
      <x:c r="F3" t="str">
        <x:v>Chattogram DC</x:v>
      </x:c>
      <x:c r="G3" t="n">
        <x:v>3360</x:v>
      </x:c>
      <x:c r="H3" t="n">
        <x:v>612</x:v>
      </x:c>
      <x:c r="I3" t="n">
        <x:v>1220</x:v>
      </x:c>
      <x:c r="J3" t="n">
        <x:v>113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COC-DPF-08-03</x:v>
      </x:c>
      <x:c r="B4" t="str">
        <x:v>Soft Drink 250ml</x:v>
      </x:c>
      <x:c r="C4" t="str">
        <x:v>Beverage</x:v>
      </x:c>
      <x:c r="D4" t="str">
        <x:v>Coca-Cola</x:v>
      </x:c>
      <x:c r="E4" t="str">
        <x:v>Sylhet</x:v>
      </x:c>
      <x:c r="F4" t="str">
        <x:v>Sylhet DC</x:v>
      </x:c>
      <x:c r="G4" t="n">
        <x:v>2146</x:v>
      </x:c>
      <x:c r="H4" t="n">
        <x:v>523</x:v>
      </x:c>
      <x:c r="I4" t="n">
        <x:v>1171</x:v>
      </x:c>
      <x:c r="J4" t="n">
        <x:v>106</x:v>
      </x:c>
      <x:c r="K4" t="n">
        <x:v>120</x:v>
      </x:c>
      <x:c r="L4" t="n">
        <x:v>45674</x:v>
      </x:c>
      <x:c r="M4" t="str">
        <x:v>OK</x:v>
      </x:c>
    </x:row>
    <x:row r="5">
      <x:c r="A5" t="str">
        <x:v>COC-DPF-08-04</x:v>
      </x:c>
      <x:c r="B5" t="str">
        <x:v>Soft Drink 250ml</x:v>
      </x:c>
      <x:c r="C5" t="str">
        <x:v>Beverage</x:v>
      </x:c>
      <x:c r="D5" t="str">
        <x:v>Coca-Cola</x:v>
      </x:c>
      <x:c r="E5" t="str">
        <x:v>Rajshahi</x:v>
      </x:c>
      <x:c r="F5" t="str">
        <x:v>Rajshahi DC</x:v>
      </x:c>
      <x:c r="G5" t="n">
        <x:v>2334</x:v>
      </x:c>
      <x:c r="H5" t="n">
        <x:v>525</x:v>
      </x:c>
      <x:c r="I5" t="n">
        <x:v>1230</x:v>
      </x:c>
      <x:c r="J5" t="n">
        <x:v>106</x:v>
      </x:c>
      <x:c r="K5" t="n">
        <x:v>120</x:v>
      </x:c>
      <x:c r="L5" t="n">
        <x:v>45675</x:v>
      </x:c>
      <x:c r="M5" t="str">
        <x:v>OK</x:v>
      </x:c>
    </x:row>
    <x:row r="6">
      <x:c r="A6" t="str">
        <x:v>COC-DPF-08-05</x:v>
      </x:c>
      <x:c r="B6" t="str">
        <x:v>Soft Drink 250ml</x:v>
      </x:c>
      <x:c r="C6" t="str">
        <x:v>Beverage</x:v>
      </x:c>
      <x:c r="D6" t="str">
        <x:v>Coca-Cola</x:v>
      </x:c>
      <x:c r="E6" t="str">
        <x:v>Khulna</x:v>
      </x:c>
      <x:c r="F6" t="str">
        <x:v>Khulna DC</x:v>
      </x:c>
      <x:c r="G6" t="n">
        <x:v>3266</x:v>
      </x:c>
      <x:c r="H6" t="n">
        <x:v>461</x:v>
      </x:c>
      <x:c r="I6" t="n">
        <x:v>1298</x:v>
      </x:c>
      <x:c r="J6" t="n">
        <x:v>545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COC-DPF-08-06</x:v>
      </x:c>
      <x:c r="B7" t="str">
        <x:v>Soft Drink 250ml</x:v>
      </x:c>
      <x:c r="C7" t="str">
        <x:v>Beverage</x:v>
      </x:c>
      <x:c r="D7" t="str">
        <x:v>Coca-Cola</x:v>
      </x:c>
      <x:c r="E7" t="str">
        <x:v>Barishal</x:v>
      </x:c>
      <x:c r="F7" t="str">
        <x:v>Barishal DC</x:v>
      </x:c>
      <x:c r="G7" t="n">
        <x:v>2643</x:v>
      </x:c>
      <x:c r="H7" t="n">
        <x:v>579</x:v>
      </x:c>
      <x:c r="I7" t="n">
        <x:v>1287</x:v>
      </x:c>
      <x:c r="J7" t="n">
        <x:v>380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COC-DPF-08-07</x:v>
      </x:c>
      <x:c r="B8" t="str">
        <x:v>Soft Drink 250ml</x:v>
      </x:c>
      <x:c r="C8" t="str">
        <x:v>Beverage</x:v>
      </x:c>
      <x:c r="D8" t="str">
        <x:v>Coca-Cola</x:v>
      </x:c>
      <x:c r="E8" t="str">
        <x:v>Rangpur</x:v>
      </x:c>
      <x:c r="F8" t="str">
        <x:v>Rangpur DC</x:v>
      </x:c>
      <x:c r="G8" t="n">
        <x:v>3151</x:v>
      </x:c>
      <x:c r="H8" t="n">
        <x:v>686</x:v>
      </x:c>
      <x:c r="I8" t="n">
        <x:v>1390</x:v>
      </x:c>
      <x:c r="J8" t="n">
        <x:v>520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COC-DPF-08-08</x:v>
      </x:c>
      <x:c r="B9" t="str">
        <x:v>Soft Drink 250ml</x:v>
      </x:c>
      <x:c r="C9" t="str">
        <x:v>Beverage</x:v>
      </x:c>
      <x:c r="D9" t="str">
        <x:v>Coca-Cola</x:v>
      </x:c>
      <x:c r="E9" t="str">
        <x:v>Mymensingh</x:v>
      </x:c>
      <x:c r="F9" t="str">
        <x:v>Mymensingh DC</x:v>
      </x:c>
      <x:c r="G9" t="n">
        <x:v>2749</x:v>
      </x:c>
      <x:c r="H9" t="n">
        <x:v>528</x:v>
      </x:c>
      <x:c r="I9" t="n">
        <x:v>1240</x:v>
      </x:c>
      <x:c r="J9" t="n">
        <x:v>158</x:v>
      </x:c>
      <x:c r="K9" t="n">
        <x:v>120</x:v>
      </x:c>
      <x:c r="L9" t="n">
        <x:v>45679</x:v>
      </x:c>
      <x:c r="M9" t="str">
        <x:v>Overstock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12.7</x:v>
      </x:c>
      <x:c r="G2" t="n">
        <x:v>9.1</x:v>
      </x:c>
      <x:c r="H2" t="n">
        <x:v>150921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24.2</x:v>
      </x:c>
      <x:c r="G3" t="n">
        <x:v>26.1</x:v>
      </x:c>
      <x:c r="H3" t="n">
        <x:v>115409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17.6</x:v>
      </x:c>
      <x:c r="G4" t="n">
        <x:v>14</x:v>
      </x:c>
      <x:c r="H4" t="n">
        <x:v>109398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14.4</x:v>
      </x:c>
      <x:c r="G5" t="n">
        <x:v>13.9</x:v>
      </x:c>
      <x:c r="H5" t="n">
        <x:v>84287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Beverage</x:v>
      </x:c>
      <x:c r="E2" t="n">
        <x:v>38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Beverage</x:v>
      </x:c>
      <x:c r="E3" t="n">
        <x:v>37</x:v>
      </x:c>
      <x:c r="F3" t="str">
        <x:v>Yes</x:v>
      </x:c>
      <x:c r="G3" t="str">
        <x:v>Yes</x:v>
      </x:c>
      <x:c r="H3" t="str">
        <x:v>https://example.com/competitor/sunsilk</x:v>
      </x:c>
      <x:c r="I3" t="str">
        <x:v>New competitor product launch</x:v>
      </x:c>
    </x:row>
    <x:row r="4">
      <x:c r="A4" t="n">
        <x:v>45597</x:v>
      </x:c>
      <x:c r="B4" t="str">
        <x:v>Nivea</x:v>
      </x:c>
      <x:c r="C4" t="str">
        <x:v>Nivea alternative</x:v>
      </x:c>
      <x:c r="D4" t="str">
        <x:v>Beverage</x:v>
      </x:c>
      <x:c r="E4" t="n">
        <x:v>39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Beverage</x:v>
      </x:c>
      <x:c r="E5" t="n">
        <x:v>38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7.56</x:v>
      </x:c>
      <x:c r="C2" t="n">
        <x:v>100.58</x:v>
      </x:c>
      <x:c r="D2" t="n">
        <x:v>87.32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7.98</x:v>
      </x:c>
      <x:c r="C3" t="n">
        <x:v>99.43</x:v>
      </x:c>
      <x:c r="D3" t="n">
        <x:v>86.26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</x:v>
      </x:c>
      <x:c r="C4" t="n">
        <x:v>100.96</x:v>
      </x:c>
      <x:c r="D4" t="n">
        <x:v>86.69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8.38</x:v>
      </x:c>
      <x:c r="C5" t="n">
        <x:v>101.35</x:v>
      </x:c>
      <x:c r="D5" t="n">
        <x:v>86.16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8.76</x:v>
      </x:c>
      <x:c r="C6" t="n">
        <x:v>102.01</x:v>
      </x:c>
      <x:c r="D6" t="n">
        <x:v>85.71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8.92</x:v>
      </x:c>
      <x:c r="C7" t="n">
        <x:v>101.17</x:v>
      </x:c>
      <x:c r="D7" t="n">
        <x:v>85.19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8.64</x:v>
      </x:c>
      <x:c r="C8" t="n">
        <x:v>101.08</x:v>
      </x:c>
      <x:c r="D8" t="n">
        <x:v>85.64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8.28</x:v>
      </x:c>
      <x:c r="C9" t="n">
        <x:v>103.04</x:v>
      </x:c>
      <x:c r="D9" t="n">
        <x:v>86.84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8.17</x:v>
      </x:c>
      <x:c r="C10" t="n">
        <x:v>102.18</x:v>
      </x:c>
      <x:c r="D10" t="n">
        <x:v>86.77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7.73</x:v>
      </x:c>
      <x:c r="C11" t="n">
        <x:v>103.58</x:v>
      </x:c>
      <x:c r="D11" t="n">
        <x:v>87.94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7.16</x:v>
      </x:c>
      <x:c r="C12" t="n">
        <x:v>102.75</x:v>
      </x:c>
      <x:c r="D12" t="n">
        <x:v>88.66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7.07</x:v>
      </x:c>
      <x:c r="C13" t="n">
        <x:v>103.93</x:v>
      </x:c>
      <x:c r="D13" t="n">
        <x:v>89.15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6.69</x:v>
      </x:c>
      <x:c r="C14" t="n">
        <x:v>104.26</x:v>
      </x:c>
      <x:c r="D14" t="n">
        <x:v>89.9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6.53</x:v>
      </x:c>
      <x:c r="C15" t="n">
        <x:v>104.27</x:v>
      </x:c>
      <x:c r="D15" t="n">
        <x:v>90.18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6.32</x:v>
      </x:c>
      <x:c r="C16" t="n">
        <x:v>104.49</x:v>
      </x:c>
      <x:c r="D16" t="n">
        <x:v>90.61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6.3</x:v>
      </x:c>
      <x:c r="C17" t="n">
        <x:v>104.22</x:v>
      </x:c>
      <x:c r="D17" t="n">
        <x:v>90.55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6.44</x:v>
      </x:c>
      <x:c r="C18" t="n">
        <x:v>104.16</x:v>
      </x:c>
      <x:c r="D18" t="n">
        <x:v>90.3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6.63</x:v>
      </x:c>
      <x:c r="C19" t="n">
        <x:v>106</x:v>
      </x:c>
      <x:c r="D19" t="n">
        <x:v>90.52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8</x:v>
      </x:c>
      <x:c r="F2" t="n">
        <x:v>5</x:v>
      </x:c>
      <x:c r="G2" t="n">
        <x:v>2</x:v>
      </x:c>
      <x:c r="H2" t="n">
        <x:v>20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3</x:v>
      </x:c>
      <x:c r="E3" t="n">
        <x:v>6</x:v>
      </x:c>
      <x:c r="F3" t="n">
        <x:v>6</x:v>
      </x:c>
      <x:c r="G3" t="n">
        <x:v>1</x:v>
      </x:c>
      <x:c r="H3" t="n">
        <x:v>16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5</x:v>
      </x:c>
      <x:c r="F4" t="n">
        <x:v>7</x:v>
      </x:c>
      <x:c r="G4" t="n">
        <x:v>5</x:v>
      </x:c>
      <x:c r="H4" t="n">
        <x:v>23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3</x:v>
      </x:c>
      <x:c r="E5" t="n">
        <x:v>11</x:v>
      </x:c>
      <x:c r="F5" t="n">
        <x:v>4</x:v>
      </x:c>
      <x:c r="G5" t="n">
        <x:v>2</x:v>
      </x:c>
      <x:c r="H5" t="n">
        <x:v>20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3745</x:v>
      </x:c>
      <x:c r="C2" t="n">
        <x:v>4109</x:v>
      </x:c>
      <x:c r="D2" t="n">
        <x:f>C2-B2</x:f>
        <x:v>364</x:v>
      </x:c>
      <x:c r="E2" t="n">
        <x:f>ABS(D2)</x:f>
        <x:v>364</x:v>
      </x:c>
      <x:c r="F2" s="22" t="n">
        <x:f>IFERROR(E2/C2,0)</x:f>
        <x:v>0.08858603066439523</x:v>
      </x:c>
      <x:c r="G2" t="str">
        <x:v>Formula columns should calculate error and accuracy</x:v>
      </x:c>
    </x:row>
    <x:row r="3">
      <x:c r="A3" t="n">
        <x:v>45505</x:v>
      </x:c>
      <x:c r="B3" t="n">
        <x:v>4182</x:v>
      </x:c>
      <x:c r="C3" t="n">
        <x:v>4939</x:v>
      </x:c>
      <x:c r="D3" t="n">
        <x:f>C3-B3</x:f>
        <x:v>757</x:v>
      </x:c>
      <x:c r="E3" t="n">
        <x:f>ABS(D3)</x:f>
        <x:v>757</x:v>
      </x:c>
      <x:c r="F3" s="22" t="n">
        <x:f>IFERROR(E3/C3,0)</x:f>
        <x:v>0.1532698926908281</x:v>
      </x:c>
      <x:c r="G3" t="str">
        <x:v>Formula columns should calculate error and accuracy</x:v>
      </x:c>
    </x:row>
    <x:row r="4">
      <x:c r="A4" t="n">
        <x:v>45536</x:v>
      </x:c>
      <x:c r="B4" t="n">
        <x:v>4344</x:v>
      </x:c>
      <x:c r="C4" t="n">
        <x:v>3638</x:v>
      </x:c>
      <x:c r="D4" t="n">
        <x:f>C4-B4</x:f>
        <x:v>-706</x:v>
      </x:c>
      <x:c r="E4" t="n">
        <x:f>ABS(D4)</x:f>
        <x:v>706</x:v>
      </x:c>
      <x:c r="F4" s="22" t="n">
        <x:f>IFERROR(E4/C4,0)</x:f>
        <x:v>0.19406267179769104</x:v>
      </x:c>
      <x:c r="G4" t="str">
        <x:v>Formula columns should calculate error and accuracy</x:v>
      </x:c>
    </x:row>
    <x:row r="5">
      <x:c r="A5" t="n">
        <x:v>45566</x:v>
      </x:c>
      <x:c r="B5" t="n">
        <x:v>4125</x:v>
      </x:c>
      <x:c r="C5" t="n">
        <x:v>4570</x:v>
      </x:c>
      <x:c r="D5" t="n">
        <x:f>C5-B5</x:f>
        <x:v>445</x:v>
      </x:c>
      <x:c r="E5" t="n">
        <x:f>ABS(D5)</x:f>
        <x:v>445</x:v>
      </x:c>
      <x:c r="F5" s="22" t="n">
        <x:f>IFERROR(E5/C5,0)</x:f>
        <x:v>0.09737417943107221</x:v>
      </x:c>
      <x:c r="G5" t="str">
        <x:v>Formula columns should calculate error and accuracy</x:v>
      </x:c>
    </x:row>
    <x:row r="6">
      <x:c r="A6" t="n">
        <x:v>45597</x:v>
      </x:c>
      <x:c r="B6" t="n">
        <x:v>4726</x:v>
      </x:c>
      <x:c r="C6" t="n">
        <x:v>5030</x:v>
      </x:c>
      <x:c r="D6" t="n">
        <x:f>C6-B6</x:f>
        <x:v>304</x:v>
      </x:c>
      <x:c r="E6" t="n">
        <x:f>ABS(D6)</x:f>
        <x:v>304</x:v>
      </x:c>
      <x:c r="F6" s="22" t="n">
        <x:f>IFERROR(E6/C6,0)</x:f>
        <x:v>0.060437375745526836</x:v>
      </x:c>
      <x:c r="G6" t="str">
        <x:v>Formula columns should calculate error and accuracy</x:v>
      </x:c>
    </x:row>
    <x:row r="7">
      <x:c r="A7" t="n">
        <x:v>45627</x:v>
      </x:c>
      <x:c r="B7" t="n">
        <x:v>4622</x:v>
      </x:c>
      <x:c r="C7" t="n">
        <x:v>5239</x:v>
      </x:c>
      <x:c r="D7" t="n">
        <x:f>C7-B7</x:f>
        <x:v>617</x:v>
      </x:c>
      <x:c r="E7" t="n">
        <x:f>ABS(D7)</x:f>
        <x:v>617</x:v>
      </x:c>
      <x:c r="F7" s="22" t="n">
        <x:f>IFERROR(E7/C7,0)</x:f>
        <x:v>0.11777056690208056</x:v>
      </x:c>
      <x:c r="G7" t="str">
        <x:v>Formula columns should calculate error and accuracy</x:v>
      </x:c>
    </x:row>
    <x:row r="8">
      <x:c r="A8" t="n">
        <x:v>45658</x:v>
      </x:c>
      <x:c r="B8" t="n">
        <x:v>4242</x:v>
      </x:c>
      <x:c r="C8" t="n">
        <x:v>3884</x:v>
      </x:c>
      <x:c r="D8" t="n">
        <x:f>C8-B8</x:f>
        <x:v>-358</x:v>
      </x:c>
      <x:c r="E8" t="n">
        <x:f>ABS(D8)</x:f>
        <x:v>358</x:v>
      </x:c>
      <x:c r="F8" s="22" t="n">
        <x:f>IFERROR(E8/C8,0)</x:f>
        <x:v>0.092173017507724</x:v>
      </x:c>
      <x:c r="G8" t="str">
        <x:v>Formula columns should calculate error and accuracy</x:v>
      </x:c>
    </x:row>
    <x:row r="9">
      <x:c r="A9" t="n">
        <x:v>45689</x:v>
      </x:c>
      <x:c r="B9" t="n">
        <x:v>4985</x:v>
      </x:c>
      <x:c r="C9" t="n">
        <x:v>5652</x:v>
      </x:c>
      <x:c r="D9" t="n">
        <x:f>C9-B9</x:f>
        <x:v>667</x:v>
      </x:c>
      <x:c r="E9" t="n">
        <x:f>ABS(D9)</x:f>
        <x:v>667</x:v>
      </x:c>
      <x:c r="F9" s="22" t="n">
        <x:f>IFERROR(E9/C9,0)</x:f>
        <x:v>0.11801132342533617</x:v>
      </x:c>
      <x:c r="G9" t="str">
        <x:v>Formula columns should calculate error and accuracy</x:v>
      </x:c>
    </x:row>
    <x:row r="10">
      <x:c r="A10" t="n">
        <x:v>45717</x:v>
      </x:c>
      <x:c r="B10" t="n">
        <x:v>5015</x:v>
      </x:c>
      <x:c r="C10" t="n">
        <x:v>4501</x:v>
      </x:c>
      <x:c r="D10" t="n">
        <x:f>C10-B10</x:f>
        <x:v>-514</x:v>
      </x:c>
      <x:c r="E10" t="n">
        <x:f>ABS(D10)</x:f>
        <x:v>514</x:v>
      </x:c>
      <x:c r="F10" s="22" t="n">
        <x:f>IFERROR(E10/C10,0)</x:f>
        <x:v>0.11419684514552322</x:v>
      </x:c>
      <x:c r="G10" t="str">
        <x:v>Formula columns should calculate error and accuracy</x:v>
      </x:c>
    </x:row>
    <x:row r="11">
      <x:c r="A11" t="n">
        <x:v>45748</x:v>
      </x:c>
      <x:c r="B11" t="n">
        <x:v>4888</x:v>
      </x:c>
      <x:c r="C11" t="n">
        <x:v>5123</x:v>
      </x:c>
      <x:c r="D11" t="n">
        <x:f>C11-B11</x:f>
        <x:v>235</x:v>
      </x:c>
      <x:c r="E11" t="n">
        <x:f>ABS(D11)</x:f>
        <x:v>235</x:v>
      </x:c>
      <x:c r="F11" s="22" t="n">
        <x:f>IFERROR(E11/C11,0)</x:f>
        <x:v>0.045871559633027525</x:v>
      </x:c>
      <x:c r="G11" t="str">
        <x:v>Formula columns should calculate error and accuracy</x:v>
      </x:c>
    </x:row>
    <x:row r="12">
      <x:c r="A12" t="n">
        <x:v>45778</x:v>
      </x:c>
      <x:c r="B12" t="n">
        <x:v>4743</x:v>
      </x:c>
      <x:c r="C12" t="n">
        <x:v>5349</x:v>
      </x:c>
      <x:c r="D12" t="n">
        <x:f>C12-B12</x:f>
        <x:v>606</x:v>
      </x:c>
      <x:c r="E12" t="n">
        <x:f>ABS(D12)</x:f>
        <x:v>606</x:v>
      </x:c>
      <x:c r="F12" s="22" t="n">
        <x:f>IFERROR(E12/C12,0)</x:f>
        <x:v>0.11329220415030847</x:v>
      </x:c>
      <x:c r="G12" t="str">
        <x:v>Formula columns should calculate error and accuracy</x:v>
      </x:c>
    </x:row>
    <x:row r="13">
      <x:c r="A13" t="n">
        <x:v>45809</x:v>
      </x:c>
      <x:c r="B13" t="n">
        <x:v>5151</x:v>
      </x:c>
      <x:c r="C13" t="n">
        <x:v>5260</x:v>
      </x:c>
      <x:c r="D13" t="n">
        <x:f>C13-B13</x:f>
        <x:v>109</x:v>
      </x:c>
      <x:c r="E13" t="n">
        <x:f>ABS(D13)</x:f>
        <x:v>109</x:v>
      </x:c>
      <x:c r="F13" s="22" t="n">
        <x:f>IFERROR(E13/C13,0)</x:f>
        <x:v>0.020722433460076045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79</x:v>
      </x:c>
      <x:c r="E2" t="n">
        <x:v>3897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57</x:v>
      </x:c>
      <x:c r="E3" t="n">
        <x:v>2623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53</x:v>
      </x:c>
      <x:c r="E4" t="n">
        <x:v>2515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48</x:v>
      </x:c>
      <x:c r="E5" t="n">
        <x:v>2056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68</x:v>
      </x:c>
      <x:c r="E6" t="n">
        <x:v>2794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51</x:v>
      </x:c>
      <x:c r="E7" t="n">
        <x:v>2256</x:v>
      </x:c>
      <x:c r="F7" t="str">
        <x:v>Low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78</x:v>
      </x:c>
      <x:c r="E8" t="n">
        <x:v>3668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63</x:v>
      </x:c>
      <x:c r="E9" t="n">
        <x:v>1996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5</x:v>
      </x:c>
      <x:c r="F2" t="n">
        <x:v>214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7</x:v>
      </x:c>
      <x:c r="F3" t="n">
        <x:v>239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8</x:v>
      </x:c>
      <x:c r="F4" t="n">
        <x:v>426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7</x:v>
      </x:c>
      <x:c r="F5" t="n">
        <x:v>233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4</x:v>
      </x:c>
      <x:c r="F6" t="n">
        <x:v>165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70</x:v>
      </x:c>
      <x:c r="F2" t="n">
        <x:v>86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77</x:v>
      </x:c>
      <x:c r="F3" t="n">
        <x:v>70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50</x:v>
      </x:c>
      <x:c r="F4" t="n">
        <x:v>73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25</x:v>
      </x:c>
      <x:c r="F5" t="n">
        <x:v>70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Soft Drink 250ml Coca-Cola Beverage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Soft Drink 250ml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Beverage competitor pricing promotions Bangladesh Coca-Cola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Soft Drink 250ml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64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64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61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