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57074d60b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8ad76289a08c41ee"/>
    <x:sheet xmlns:r="http://schemas.openxmlformats.org/officeDocument/2006/relationships" name="Historical_Sales" sheetId="2" r:id="Rbc6704f8f0234cfd"/>
    <x:sheet xmlns:r="http://schemas.openxmlformats.org/officeDocument/2006/relationships" name="Inventory" sheetId="3" r:id="R178a1b20ae2647e5"/>
    <x:sheet xmlns:r="http://schemas.openxmlformats.org/officeDocument/2006/relationships" name="Promotions" sheetId="4" r:id="R5bbf7636fcee4454"/>
    <x:sheet xmlns:r="http://schemas.openxmlformats.org/officeDocument/2006/relationships" name="Competitors" sheetId="5" r:id="Rcb91c30dd5d84480"/>
    <x:sheet xmlns:r="http://schemas.openxmlformats.org/officeDocument/2006/relationships" name="Economic" sheetId="6" r:id="R26044734403045ea"/>
    <x:sheet xmlns:r="http://schemas.openxmlformats.org/officeDocument/2006/relationships" name="Lead_Time" sheetId="7" r:id="Rcd1798e495984d29"/>
    <x:sheet xmlns:r="http://schemas.openxmlformats.org/officeDocument/2006/relationships" name="Forecast_Actual" sheetId="8" r:id="R89696185b3624fd3"/>
    <x:sheet xmlns:r="http://schemas.openxmlformats.org/officeDocument/2006/relationships" name="Regional_Demand_Map" sheetId="9" r:id="R91e332f250b64dcc"/>
    <x:sheet xmlns:r="http://schemas.openxmlformats.org/officeDocument/2006/relationships" name="SCM_Flow_Map" sheetId="10" r:id="R426f4e7deb814139"/>
    <x:sheet xmlns:r="http://schemas.openxmlformats.org/officeDocument/2006/relationships" name="Customer_Patterns" sheetId="11" r:id="Rde96abe442a6429c"/>
    <x:sheet xmlns:r="http://schemas.openxmlformats.org/officeDocument/2006/relationships" name="Technology_Data" sheetId="12" r:id="Rcb42e099bdfc414b"/>
    <x:sheet xmlns:r="http://schemas.openxmlformats.org/officeDocument/2006/relationships" name="Web_Search_Seeds" sheetId="13" r:id="R3ce31a4c7a6d47d5"/>
    <x:sheet xmlns:r="http://schemas.openxmlformats.org/officeDocument/2006/relationships" name="Manual_Expert_Opinion" sheetId="14" r:id="R86bb443cded0434d"/>
    <x:sheet xmlns:r="http://schemas.openxmlformats.org/officeDocument/2006/relationships" name="Data_Issues" sheetId="15" r:id="Ra83fa7d6717f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346803fdc4d99" /><Relationship Type="http://schemas.openxmlformats.org/officeDocument/2006/relationships/theme" Target="/xl/theme/theme1.xml" Id="R5141989ebcb54f6d" /><Relationship Type="http://schemas.openxmlformats.org/officeDocument/2006/relationships/sharedStrings" Target="/xl/sharedStrings.xml" Id="R9dc7cc2dbb0a401e" /><Relationship Type="http://schemas.openxmlformats.org/officeDocument/2006/relationships/worksheet" Target="/xl/worksheets/sheet1.xml" Id="R8ad76289a08c41ee" /><Relationship Type="http://schemas.openxmlformats.org/officeDocument/2006/relationships/worksheet" Target="/xl/worksheets/sheet2.xml" Id="Rbc6704f8f0234cfd" /><Relationship Type="http://schemas.openxmlformats.org/officeDocument/2006/relationships/worksheet" Target="/xl/worksheets/sheet3.xml" Id="R178a1b20ae2647e5" /><Relationship Type="http://schemas.openxmlformats.org/officeDocument/2006/relationships/worksheet" Target="/xl/worksheets/sheet4.xml" Id="R5bbf7636fcee4454" /><Relationship Type="http://schemas.openxmlformats.org/officeDocument/2006/relationships/worksheet" Target="/xl/worksheets/sheet5.xml" Id="Rcb91c30dd5d84480" /><Relationship Type="http://schemas.openxmlformats.org/officeDocument/2006/relationships/worksheet" Target="/xl/worksheets/sheet6.xml" Id="R26044734403045ea" /><Relationship Type="http://schemas.openxmlformats.org/officeDocument/2006/relationships/worksheet" Target="/xl/worksheets/sheet7.xml" Id="Rcd1798e495984d29" /><Relationship Type="http://schemas.openxmlformats.org/officeDocument/2006/relationships/worksheet" Target="/xl/worksheets/sheet8.xml" Id="R89696185b3624fd3" /><Relationship Type="http://schemas.openxmlformats.org/officeDocument/2006/relationships/worksheet" Target="/xl/worksheets/sheet9.xml" Id="R91e332f250b64dcc" /><Relationship Type="http://schemas.openxmlformats.org/officeDocument/2006/relationships/worksheet" Target="/xl/worksheets/sheet10.xml" Id="R426f4e7deb814139" /><Relationship Type="http://schemas.openxmlformats.org/officeDocument/2006/relationships/worksheet" Target="/xl/worksheets/sheet11.xml" Id="Rde96abe442a6429c" /><Relationship Type="http://schemas.openxmlformats.org/officeDocument/2006/relationships/worksheet" Target="/xl/worksheets/sheet12.xml" Id="Rcb42e099bdfc414b" /><Relationship Type="http://schemas.openxmlformats.org/officeDocument/2006/relationships/worksheet" Target="/xl/worksheets/sheet13.xml" Id="R3ce31a4c7a6d47d5" /><Relationship Type="http://schemas.openxmlformats.org/officeDocument/2006/relationships/worksheet" Target="/xl/worksheets/sheet14.xml" Id="R86bb443cded0434d" /><Relationship Type="http://schemas.openxmlformats.org/officeDocument/2006/relationships/worksheet" Target="/xl/worksheets/sheet15.xml" Id="Ra83fa7d6717f45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DPF-21</x:v>
      </x:c>
    </x:row>
    <x:row r="3">
      <x:c r="A3" t="str">
        <x:v>Scenario Title</x:v>
      </x:c>
      <x:c r="B3" t="str">
        <x:v>Extreme Outlier Spike</x:v>
      </x:c>
    </x:row>
    <x:row r="4">
      <x:c r="A4" t="str">
        <x:v>Purpose</x:v>
      </x:c>
      <x:c r="B4" t="str">
        <x:v>Test outlier detection and robust forecast.</x:v>
      </x:c>
    </x:row>
    <x:row r="5">
      <x:c r="A5" t="str">
        <x:v>Product Name</x:v>
      </x:c>
      <x:c r="B5" t="str">
        <x:v>Power Bank</x:v>
      </x:c>
    </x:row>
    <x:row r="6">
      <x:c r="A6" t="str">
        <x:v>Category</x:v>
      </x:c>
      <x:c r="B6" t="str">
        <x:v>Electronics</x:v>
      </x:c>
    </x:row>
    <x:row r="7">
      <x:c r="A7" t="str">
        <x:v>Brand</x:v>
      </x:c>
      <x:c r="B7" t="str">
        <x:v>Anker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Forecasting Methods</x:v>
      </x:c>
    </x:row>
    <x:row r="11">
      <x:c r="A11" t="str">
        <x:v>Recommended Inputs To Tick</x:v>
      </x:c>
      <x:c r="B11" t="str">
        <x:v>Historical Sales Data, Forecasting Methods</x:v>
      </x:c>
    </x:row>
    <x:row r="12">
      <x:c r="A12" t="str">
        <x:v>Recommended Outputs To Tick</x:v>
      </x:c>
      <x:c r="B12" t="str">
        <x:v>Demand Forecast, Forecast Confidence Score, Risk Alerts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Power Bank</x:v>
      </x:c>
      <x:c r="C2" t="str">
        <x:v>Electronics</x:v>
      </x:c>
      <x:c r="D2" t="str">
        <x:v>Anker</x:v>
      </x:c>
      <x:c r="E2" t="str">
        <x:v>Dhaka</x:v>
      </x:c>
      <x:c r="F2" t="str">
        <x:v>Retail</x:v>
      </x:c>
      <x:c r="G2" t="n">
        <x:v>607</x:v>
      </x:c>
      <x:c r="H2" t="n">
        <x:v>2400</x:v>
      </x:c>
      <x:c r="I2" t="n">
        <x:v>1456800</x:v>
      </x:c>
      <x:c r="J2" t="str"/>
    </x:row>
    <x:row r="3">
      <x:c r="A3" t="n">
        <x:v>45323</x:v>
      </x:c>
      <x:c r="B3" t="str">
        <x:v>Power Bank</x:v>
      </x:c>
      <x:c r="C3" t="str">
        <x:v>Electronics</x:v>
      </x:c>
      <x:c r="D3" t="str">
        <x:v>Anker</x:v>
      </x:c>
      <x:c r="E3" t="str">
        <x:v>Chattogram</x:v>
      </x:c>
      <x:c r="F3" t="str">
        <x:v>Online</x:v>
      </x:c>
      <x:c r="G3" t="n">
        <x:v>591</x:v>
      </x:c>
      <x:c r="H3" t="n">
        <x:v>2400</x:v>
      </x:c>
      <x:c r="I3" t="n">
        <x:v>1418400</x:v>
      </x:c>
      <x:c r="J3" t="str"/>
    </x:row>
    <x:row r="4">
      <x:c r="A4" t="n">
        <x:v>45352</x:v>
      </x:c>
      <x:c r="B4" t="str">
        <x:v>Power Bank</x:v>
      </x:c>
      <x:c r="C4" t="str">
        <x:v>Electronics</x:v>
      </x:c>
      <x:c r="D4" t="str">
        <x:v>Anker</x:v>
      </x:c>
      <x:c r="E4" t="str">
        <x:v>Sylhet</x:v>
      </x:c>
      <x:c r="F4" t="str">
        <x:v>Wholesale</x:v>
      </x:c>
      <x:c r="G4" t="n">
        <x:v>665</x:v>
      </x:c>
      <x:c r="H4" t="n">
        <x:v>2400</x:v>
      </x:c>
      <x:c r="I4" t="n">
        <x:v>1596000</x:v>
      </x:c>
      <x:c r="J4" t="str"/>
    </x:row>
    <x:row r="5">
      <x:c r="A5" t="n">
        <x:v>45383</x:v>
      </x:c>
      <x:c r="B5" t="str">
        <x:v>Power Bank</x:v>
      </x:c>
      <x:c r="C5" t="str">
        <x:v>Electronics</x:v>
      </x:c>
      <x:c r="D5" t="str">
        <x:v>Anker</x:v>
      </x:c>
      <x:c r="E5" t="str">
        <x:v>Rajshahi</x:v>
      </x:c>
      <x:c r="F5" t="str">
        <x:v>Modern Trade</x:v>
      </x:c>
      <x:c r="G5" t="n">
        <x:v>564</x:v>
      </x:c>
      <x:c r="H5" t="n">
        <x:v>2400</x:v>
      </x:c>
      <x:c r="I5" t="n">
        <x:v>1353600</x:v>
      </x:c>
      <x:c r="J5" t="str"/>
    </x:row>
    <x:row r="6">
      <x:c r="A6" t="n">
        <x:v>45413</x:v>
      </x:c>
      <x:c r="B6" t="str">
        <x:v>Power Bank</x:v>
      </x:c>
      <x:c r="C6" t="str">
        <x:v>Electronics</x:v>
      </x:c>
      <x:c r="D6" t="str">
        <x:v>Anker</x:v>
      </x:c>
      <x:c r="E6" t="str">
        <x:v>Khulna</x:v>
      </x:c>
      <x:c r="F6" t="str">
        <x:v>Retail</x:v>
      </x:c>
      <x:c r="G6" t="n">
        <x:v>627</x:v>
      </x:c>
      <x:c r="H6" t="n">
        <x:v>2400</x:v>
      </x:c>
      <x:c r="I6" t="n">
        <x:v>1504800</x:v>
      </x:c>
      <x:c r="J6" t="str"/>
    </x:row>
    <x:row r="7">
      <x:c r="A7" t="n">
        <x:v>45444</x:v>
      </x:c>
      <x:c r="B7" t="str">
        <x:v>Power Bank</x:v>
      </x:c>
      <x:c r="C7" t="str">
        <x:v>Electronics</x:v>
      </x:c>
      <x:c r="D7" t="str">
        <x:v>Anker</x:v>
      </x:c>
      <x:c r="E7" t="str">
        <x:v>Barishal</x:v>
      </x:c>
      <x:c r="F7" t="str">
        <x:v>Online</x:v>
      </x:c>
      <x:c r="G7" t="n">
        <x:v>656</x:v>
      </x:c>
      <x:c r="H7" t="n">
        <x:v>2400</x:v>
      </x:c>
      <x:c r="I7" t="n">
        <x:v>1574400</x:v>
      </x:c>
      <x:c r="J7" t="str"/>
    </x:row>
    <x:row r="8">
      <x:c r="A8" t="n">
        <x:v>45474</x:v>
      </x:c>
      <x:c r="B8" t="str">
        <x:v>Power Bank</x:v>
      </x:c>
      <x:c r="C8" t="str">
        <x:v>Electronics</x:v>
      </x:c>
      <x:c r="D8" t="str">
        <x:v>Anker</x:v>
      </x:c>
      <x:c r="E8" t="str">
        <x:v>Rangpur</x:v>
      </x:c>
      <x:c r="F8" t="str">
        <x:v>Wholesale</x:v>
      </x:c>
      <x:c r="G8" t="n">
        <x:v>589</x:v>
      </x:c>
      <x:c r="H8" t="n">
        <x:v>2400</x:v>
      </x:c>
      <x:c r="I8" t="n">
        <x:v>1413600</x:v>
      </x:c>
      <x:c r="J8" t="str"/>
    </x:row>
    <x:row r="9">
      <x:c r="A9" t="n">
        <x:v>45505</x:v>
      </x:c>
      <x:c r="B9" t="str">
        <x:v>Power Bank</x:v>
      </x:c>
      <x:c r="C9" t="str">
        <x:v>Electronics</x:v>
      </x:c>
      <x:c r="D9" t="str">
        <x:v>Anker</x:v>
      </x:c>
      <x:c r="E9" t="str">
        <x:v>Mymensingh</x:v>
      </x:c>
      <x:c r="F9" t="str">
        <x:v>Modern Trade</x:v>
      </x:c>
      <x:c r="G9" t="n">
        <x:v>663</x:v>
      </x:c>
      <x:c r="H9" t="n">
        <x:v>2400</x:v>
      </x:c>
      <x:c r="I9" t="n">
        <x:v>1591200</x:v>
      </x:c>
      <x:c r="J9" t="str"/>
    </x:row>
    <x:row r="10">
      <x:c r="A10" t="n">
        <x:v>45536</x:v>
      </x:c>
      <x:c r="B10" t="str">
        <x:v>Power Bank</x:v>
      </x:c>
      <x:c r="C10" t="str">
        <x:v>Electronics</x:v>
      </x:c>
      <x:c r="D10" t="str">
        <x:v>Anker</x:v>
      </x:c>
      <x:c r="E10" t="str">
        <x:v>Dhaka</x:v>
      </x:c>
      <x:c r="F10" t="str">
        <x:v>Retail</x:v>
      </x:c>
      <x:c r="G10" t="n">
        <x:v>642</x:v>
      </x:c>
      <x:c r="H10" t="n">
        <x:v>2400</x:v>
      </x:c>
      <x:c r="I10" t="n">
        <x:v>1540800</x:v>
      </x:c>
      <x:c r="J10" t="str"/>
    </x:row>
    <x:row r="11">
      <x:c r="A11" t="n">
        <x:v>45566</x:v>
      </x:c>
      <x:c r="B11" t="str">
        <x:v>Power Bank</x:v>
      </x:c>
      <x:c r="C11" t="str">
        <x:v>Electronics</x:v>
      </x:c>
      <x:c r="D11" t="str">
        <x:v>Anker</x:v>
      </x:c>
      <x:c r="E11" t="str">
        <x:v>Chattogram</x:v>
      </x:c>
      <x:c r="F11" t="str">
        <x:v>Online</x:v>
      </x:c>
      <x:c r="G11" t="n">
        <x:v>760</x:v>
      </x:c>
      <x:c r="H11" t="n">
        <x:v>2400</x:v>
      </x:c>
      <x:c r="I11" t="n">
        <x:v>1824000</x:v>
      </x:c>
      <x:c r="J11" t="str"/>
    </x:row>
    <x:row r="12">
      <x:c r="A12" t="n">
        <x:v>45597</x:v>
      </x:c>
      <x:c r="B12" t="str">
        <x:v>Power Bank</x:v>
      </x:c>
      <x:c r="C12" t="str">
        <x:v>Electronics</x:v>
      </x:c>
      <x:c r="D12" t="str">
        <x:v>Anker</x:v>
      </x:c>
      <x:c r="E12" t="str">
        <x:v>Sylhet</x:v>
      </x:c>
      <x:c r="F12" t="str">
        <x:v>Wholesale</x:v>
      </x:c>
      <x:c r="G12" t="n">
        <x:v>3655</x:v>
      </x:c>
      <x:c r="H12" t="n">
        <x:v>2400</x:v>
      </x:c>
      <x:c r="I12" t="n">
        <x:v>8772000</x:v>
      </x:c>
      <x:c r="J12" t="str">
        <x:v>Extreme demand outlier</x:v>
      </x:c>
    </x:row>
    <x:row r="13">
      <x:c r="A13" t="n">
        <x:v>45627</x:v>
      </x:c>
      <x:c r="B13" t="str">
        <x:v>Power Bank</x:v>
      </x:c>
      <x:c r="C13" t="str">
        <x:v>Electronics</x:v>
      </x:c>
      <x:c r="D13" t="str">
        <x:v>Anker</x:v>
      </x:c>
      <x:c r="E13" t="str">
        <x:v>Rajshahi</x:v>
      </x:c>
      <x:c r="F13" t="str">
        <x:v>Modern Trade</x:v>
      </x:c>
      <x:c r="G13" t="n">
        <x:v>618</x:v>
      </x:c>
      <x:c r="H13" t="n">
        <x:v>2400</x:v>
      </x:c>
      <x:c r="I13" t="n">
        <x:v>1483200</x:v>
      </x:c>
      <x:c r="J13" t="str"/>
    </x:row>
    <x:row r="14">
      <x:c r="A14" t="n">
        <x:v>45658</x:v>
      </x:c>
      <x:c r="B14" t="str">
        <x:v>Power Bank</x:v>
      </x:c>
      <x:c r="C14" t="str">
        <x:v>Electronics</x:v>
      </x:c>
      <x:c r="D14" t="str">
        <x:v>Anker</x:v>
      </x:c>
      <x:c r="E14" t="str">
        <x:v>Khulna</x:v>
      </x:c>
      <x:c r="F14" t="str">
        <x:v>Retail</x:v>
      </x:c>
      <x:c r="G14" t="n">
        <x:v>692</x:v>
      </x:c>
      <x:c r="H14" t="n">
        <x:v>2400</x:v>
      </x:c>
      <x:c r="I14" t="n">
        <x:v>1660800</x:v>
      </x:c>
      <x:c r="J14" t="str"/>
    </x:row>
    <x:row r="15">
      <x:c r="A15" t="n">
        <x:v>45689</x:v>
      </x:c>
      <x:c r="B15" t="str">
        <x:v>Power Bank</x:v>
      </x:c>
      <x:c r="C15" t="str">
        <x:v>Electronics</x:v>
      </x:c>
      <x:c r="D15" t="str">
        <x:v>Anker</x:v>
      </x:c>
      <x:c r="E15" t="str">
        <x:v>Barishal</x:v>
      </x:c>
      <x:c r="F15" t="str">
        <x:v>Online</x:v>
      </x:c>
      <x:c r="G15" t="n">
        <x:v>637</x:v>
      </x:c>
      <x:c r="H15" t="n">
        <x:v>2400</x:v>
      </x:c>
      <x:c r="I15" t="n">
        <x:v>1528800</x:v>
      </x:c>
      <x:c r="J15" t="str"/>
    </x:row>
    <x:row r="16">
      <x:c r="A16" t="n">
        <x:v>45717</x:v>
      </x:c>
      <x:c r="B16" t="str">
        <x:v>Power Bank</x:v>
      </x:c>
      <x:c r="C16" t="str">
        <x:v>Electronics</x:v>
      </x:c>
      <x:c r="D16" t="str">
        <x:v>Anker</x:v>
      </x:c>
      <x:c r="E16" t="str">
        <x:v>Rangpur</x:v>
      </x:c>
      <x:c r="F16" t="str">
        <x:v>Wholesale</x:v>
      </x:c>
      <x:c r="G16" t="n">
        <x:v>735</x:v>
      </x:c>
      <x:c r="H16" t="n">
        <x:v>2400</x:v>
      </x:c>
      <x:c r="I16" t="n">
        <x:v>1764000</x:v>
      </x:c>
      <x:c r="J16" t="str"/>
    </x:row>
    <x:row r="17">
      <x:c r="A17" t="n">
        <x:v>45748</x:v>
      </x:c>
      <x:c r="B17" t="str">
        <x:v>Power Bank</x:v>
      </x:c>
      <x:c r="C17" t="str">
        <x:v>Electronics</x:v>
      </x:c>
      <x:c r="D17" t="str">
        <x:v>Anker</x:v>
      </x:c>
      <x:c r="E17" t="str">
        <x:v>Mymensingh</x:v>
      </x:c>
      <x:c r="F17" t="str">
        <x:v>Modern Trade</x:v>
      </x:c>
      <x:c r="G17" t="n">
        <x:v>792</x:v>
      </x:c>
      <x:c r="H17" t="n">
        <x:v>2400</x:v>
      </x:c>
      <x:c r="I17" t="n">
        <x:v>1900800</x:v>
      </x:c>
      <x:c r="J17" t="str"/>
    </x:row>
    <x:row r="18">
      <x:c r="A18" t="n">
        <x:v>45778</x:v>
      </x:c>
      <x:c r="B18" t="str">
        <x:v>Power Bank</x:v>
      </x:c>
      <x:c r="C18" t="str">
        <x:v>Electronics</x:v>
      </x:c>
      <x:c r="D18" t="str">
        <x:v>Anker</x:v>
      </x:c>
      <x:c r="E18" t="str">
        <x:v>Dhaka</x:v>
      </x:c>
      <x:c r="F18" t="str">
        <x:v>Retail</x:v>
      </x:c>
      <x:c r="G18" t="n">
        <x:v>796</x:v>
      </x:c>
      <x:c r="H18" t="n">
        <x:v>2400</x:v>
      </x:c>
      <x:c r="I18" t="n">
        <x:v>1910400</x:v>
      </x:c>
      <x:c r="J18" t="str"/>
    </x:row>
    <x:row r="19">
      <x:c r="A19" t="n">
        <x:v>45809</x:v>
      </x:c>
      <x:c r="B19" t="str">
        <x:v>Power Bank</x:v>
      </x:c>
      <x:c r="C19" t="str">
        <x:v>Electronics</x:v>
      </x:c>
      <x:c r="D19" t="str">
        <x:v>Anker</x:v>
      </x:c>
      <x:c r="E19" t="str">
        <x:v>Chattogram</x:v>
      </x:c>
      <x:c r="F19" t="str">
        <x:v>Online</x:v>
      </x:c>
      <x:c r="G19" t="n">
        <x:v>837</x:v>
      </x:c>
      <x:c r="H19" t="n">
        <x:v>2400</x:v>
      </x:c>
      <x:c r="I19" t="n">
        <x:v>2008800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ANK-DPF-21-01</x:v>
      </x:c>
      <x:c r="B2" t="str">
        <x:v>Power Bank</x:v>
      </x:c>
      <x:c r="C2" t="str">
        <x:v>Electronics</x:v>
      </x:c>
      <x:c r="D2" t="str">
        <x:v>Anker</x:v>
      </x:c>
      <x:c r="E2" t="str">
        <x:v>Dhaka</x:v>
      </x:c>
      <x:c r="F2" t="str">
        <x:v>Dhaka DC</x:v>
      </x:c>
      <x:c r="G2" t="n">
        <x:v>2708</x:v>
      </x:c>
      <x:c r="H2" t="n">
        <x:v>685</x:v>
      </x:c>
      <x:c r="I2" t="n">
        <x:v>1425</x:v>
      </x:c>
      <x:c r="J2" t="n">
        <x:v>435</x:v>
      </x:c>
      <x:c r="K2" t="n">
        <x:v>120</x:v>
      </x:c>
      <x:c r="L2" t="n">
        <x:v>45672</x:v>
      </x:c>
      <x:c r="M2" t="str">
        <x:v>OK</x:v>
      </x:c>
    </x:row>
    <x:row r="3">
      <x:c r="A3" t="str">
        <x:v>ANK-DPF-21-02</x:v>
      </x:c>
      <x:c r="B3" t="str">
        <x:v>Power Bank</x:v>
      </x:c>
      <x:c r="C3" t="str">
        <x:v>Electronics</x:v>
      </x:c>
      <x:c r="D3" t="str">
        <x:v>Anker</x:v>
      </x:c>
      <x:c r="E3" t="str">
        <x:v>Chattogram</x:v>
      </x:c>
      <x:c r="F3" t="str">
        <x:v>Chattogram DC</x:v>
      </x:c>
      <x:c r="G3" t="n">
        <x:v>2187</x:v>
      </x:c>
      <x:c r="H3" t="n">
        <x:v>534</x:v>
      </x:c>
      <x:c r="I3" t="n">
        <x:v>1358</x:v>
      </x:c>
      <x:c r="J3" t="n">
        <x:v>524</x:v>
      </x:c>
      <x:c r="K3" t="n">
        <x:v>120</x:v>
      </x:c>
      <x:c r="L3" t="n">
        <x:v>45673</x:v>
      </x:c>
      <x:c r="M3" t="str">
        <x:v>OK</x:v>
      </x:c>
    </x:row>
    <x:row r="4">
      <x:c r="A4" t="str">
        <x:v>ANK-DPF-21-03</x:v>
      </x:c>
      <x:c r="B4" t="str">
        <x:v>Power Bank</x:v>
      </x:c>
      <x:c r="C4" t="str">
        <x:v>Electronics</x:v>
      </x:c>
      <x:c r="D4" t="str">
        <x:v>Anker</x:v>
      </x:c>
      <x:c r="E4" t="str">
        <x:v>Sylhet</x:v>
      </x:c>
      <x:c r="F4" t="str">
        <x:v>Sylhet DC</x:v>
      </x:c>
      <x:c r="G4" t="n">
        <x:v>3302</x:v>
      </x:c>
      <x:c r="H4" t="n">
        <x:v>531</x:v>
      </x:c>
      <x:c r="I4" t="n">
        <x:v>1337</x:v>
      </x:c>
      <x:c r="J4" t="n">
        <x:v>405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ANK-DPF-21-04</x:v>
      </x:c>
      <x:c r="B5" t="str">
        <x:v>Power Bank</x:v>
      </x:c>
      <x:c r="C5" t="str">
        <x:v>Electronics</x:v>
      </x:c>
      <x:c r="D5" t="str">
        <x:v>Anker</x:v>
      </x:c>
      <x:c r="E5" t="str">
        <x:v>Rajshahi</x:v>
      </x:c>
      <x:c r="F5" t="str">
        <x:v>Rajshahi DC</x:v>
      </x:c>
      <x:c r="G5" t="n">
        <x:v>2935</x:v>
      </x:c>
      <x:c r="H5" t="n">
        <x:v>540</x:v>
      </x:c>
      <x:c r="I5" t="n">
        <x:v>1245</x:v>
      </x:c>
      <x:c r="J5" t="n">
        <x:v>129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ANK-DPF-21-05</x:v>
      </x:c>
      <x:c r="B6" t="str">
        <x:v>Power Bank</x:v>
      </x:c>
      <x:c r="C6" t="str">
        <x:v>Electronics</x:v>
      </x:c>
      <x:c r="D6" t="str">
        <x:v>Anker</x:v>
      </x:c>
      <x:c r="E6" t="str">
        <x:v>Khulna</x:v>
      </x:c>
      <x:c r="F6" t="str">
        <x:v>Khulna DC</x:v>
      </x:c>
      <x:c r="G6" t="n">
        <x:v>2769</x:v>
      </x:c>
      <x:c r="H6" t="n">
        <x:v>441</x:v>
      </x:c>
      <x:c r="I6" t="n">
        <x:v>1115</x:v>
      </x:c>
      <x:c r="J6" t="n">
        <x:v>424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ANK-DPF-21-06</x:v>
      </x:c>
      <x:c r="B7" t="str">
        <x:v>Power Bank</x:v>
      </x:c>
      <x:c r="C7" t="str">
        <x:v>Electronics</x:v>
      </x:c>
      <x:c r="D7" t="str">
        <x:v>Anker</x:v>
      </x:c>
      <x:c r="E7" t="str">
        <x:v>Barishal</x:v>
      </x:c>
      <x:c r="F7" t="str">
        <x:v>Barishal DC</x:v>
      </x:c>
      <x:c r="G7" t="n">
        <x:v>3175</x:v>
      </x:c>
      <x:c r="H7" t="n">
        <x:v>591</x:v>
      </x:c>
      <x:c r="I7" t="n">
        <x:v>1271</x:v>
      </x:c>
      <x:c r="J7" t="n">
        <x:v>133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ANK-DPF-21-07</x:v>
      </x:c>
      <x:c r="B8" t="str">
        <x:v>Power Bank</x:v>
      </x:c>
      <x:c r="C8" t="str">
        <x:v>Electronics</x:v>
      </x:c>
      <x:c r="D8" t="str">
        <x:v>Anker</x:v>
      </x:c>
      <x:c r="E8" t="str">
        <x:v>Rangpur</x:v>
      </x:c>
      <x:c r="F8" t="str">
        <x:v>Rangpur DC</x:v>
      </x:c>
      <x:c r="G8" t="n">
        <x:v>3454</x:v>
      </x:c>
      <x:c r="H8" t="n">
        <x:v>575</x:v>
      </x:c>
      <x:c r="I8" t="n">
        <x:v>1398</x:v>
      </x:c>
      <x:c r="J8" t="n">
        <x:v>483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ANK-DPF-21-08</x:v>
      </x:c>
      <x:c r="B9" t="str">
        <x:v>Power Bank</x:v>
      </x:c>
      <x:c r="C9" t="str">
        <x:v>Electronics</x:v>
      </x:c>
      <x:c r="D9" t="str">
        <x:v>Anker</x:v>
      </x:c>
      <x:c r="E9" t="str">
        <x:v>Mymensingh</x:v>
      </x:c>
      <x:c r="F9" t="str">
        <x:v>Mymensingh DC</x:v>
      </x:c>
      <x:c r="G9" t="n">
        <x:v>2051</x:v>
      </x:c>
      <x:c r="H9" t="n">
        <x:v>510</x:v>
      </x:c>
      <x:c r="I9" t="n">
        <x:v>1133</x:v>
      </x:c>
      <x:c r="J9" t="n">
        <x:v>141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22.2</x:v>
      </x:c>
      <x:c r="G2" t="n">
        <x:v>17.3</x:v>
      </x:c>
      <x:c r="H2" t="n">
        <x:v>144210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21.4</x:v>
      </x:c>
      <x:c r="G3" t="n">
        <x:v>18.3</x:v>
      </x:c>
      <x:c r="H3" t="n">
        <x:v>138143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15.7</x:v>
      </x:c>
      <x:c r="G4" t="n">
        <x:v>16.2</x:v>
      </x:c>
      <x:c r="H4" t="n">
        <x:v>130493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11.2</x:v>
      </x:c>
      <x:c r="G5" t="n">
        <x:v>13.3</x:v>
      </x:c>
      <x:c r="H5" t="n">
        <x:v>111165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Electronics</x:v>
      </x:c>
      <x:c r="E2" t="n">
        <x:v>2477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Electronics</x:v>
      </x:c>
      <x:c r="E3" t="n">
        <x:v>2404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Electronics</x:v>
      </x:c>
      <x:c r="E4" t="n">
        <x:v>2801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Electronics</x:v>
      </x:c>
      <x:c r="E5" t="n">
        <x:v>1972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7.64</x:v>
      </x:c>
      <x:c r="C2" t="n">
        <x:v>100.11</x:v>
      </x:c>
      <x:c r="D2" t="n">
        <x:v>87.04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7.85</x:v>
      </x:c>
      <x:c r="C3" t="n">
        <x:v>100.47</x:v>
      </x:c>
      <x:c r="D3" t="n">
        <x:v>86.79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8.5</x:v>
      </x:c>
      <x:c r="C4" t="n">
        <x:v>101.16</x:v>
      </x:c>
      <x:c r="D4" t="n">
        <x:v>85.9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8.76</x:v>
      </x:c>
      <x:c r="C5" t="n">
        <x:v>101.28</x:v>
      </x:c>
      <x:c r="D5" t="n">
        <x:v>85.5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8.47</x:v>
      </x:c>
      <x:c r="C6" t="n">
        <x:v>101.83</x:v>
      </x:c>
      <x:c r="D6" t="n">
        <x:v>86.15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8.46</x:v>
      </x:c>
      <x:c r="C7" t="n">
        <x:v>101.82</x:v>
      </x:c>
      <x:c r="D7" t="n">
        <x:v>86.17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8.65</x:v>
      </x:c>
      <x:c r="C8" t="n">
        <x:v>101.44</x:v>
      </x:c>
      <x:c r="D8" t="n">
        <x:v>85.72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</x:v>
      </x:c>
      <x:c r="C9" t="n">
        <x:v>101.94</x:v>
      </x:c>
      <x:c r="D9" t="n">
        <x:v>85.97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8.11</x:v>
      </x:c>
      <x:c r="C10" t="n">
        <x:v>102.79</x:v>
      </x:c>
      <x:c r="D10" t="n">
        <x:v>87.04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7.52</x:v>
      </x:c>
      <x:c r="C11" t="n">
        <x:v>102.5</x:v>
      </x:c>
      <x:c r="D11" t="n">
        <x:v>87.97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7.18</x:v>
      </x:c>
      <x:c r="C12" t="n">
        <x:v>102.59</x:v>
      </x:c>
      <x:c r="D12" t="n">
        <x:v>88.58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7.08</x:v>
      </x:c>
      <x:c r="C13" t="n">
        <x:v>102.58</x:v>
      </x:c>
      <x:c r="D13" t="n">
        <x:v>88.73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6.65</x:v>
      </x:c>
      <x:c r="C14" t="n">
        <x:v>104.37</x:v>
      </x:c>
      <x:c r="D14" t="n">
        <x:v>90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6.39</x:v>
      </x:c>
      <x:c r="C15" t="n">
        <x:v>104.59</x:v>
      </x:c>
      <x:c r="D15" t="n">
        <x:v>90.51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6.33</x:v>
      </x:c>
      <x:c r="C16" t="n">
        <x:v>103.83</x:v>
      </x:c>
      <x:c r="D16" t="n">
        <x:v>90.39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6.49</x:v>
      </x:c>
      <x:c r="C17" t="n">
        <x:v>104.61</x:v>
      </x:c>
      <x:c r="D17" t="n">
        <x:v>90.35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6.35</x:v>
      </x:c>
      <x:c r="C18" t="n">
        <x:v>104.22</x:v>
      </x:c>
      <x:c r="D18" t="n">
        <x:v>90.46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6.93</x:v>
      </x:c>
      <x:c r="C19" t="n">
        <x:v>105.47</x:v>
      </x:c>
      <x:c r="D19" t="n">
        <x:v>89.85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7</x:v>
      </x:c>
      <x:c r="F2" t="n">
        <x:v>7</x:v>
      </x:c>
      <x:c r="G2" t="n">
        <x:v>1</x:v>
      </x:c>
      <x:c r="H2" t="n">
        <x:v>18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12</x:v>
      </x:c>
      <x:c r="F3" t="n">
        <x:v>8</x:v>
      </x:c>
      <x:c r="G3" t="n">
        <x:v>5</x:v>
      </x:c>
      <x:c r="H3" t="n">
        <x:v>29</x:v>
      </x:c>
      <x:c r="I3" t="str">
        <x:v>Yes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11</x:v>
      </x:c>
      <x:c r="F4" t="n">
        <x:v>2</x:v>
      </x:c>
      <x:c r="G4" t="n">
        <x:v>5</x:v>
      </x:c>
      <x:c r="H4" t="n">
        <x:v>22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5</x:v>
      </x:c>
      <x:c r="F5" t="n">
        <x:v>8</x:v>
      </x:c>
      <x:c r="G5" t="n">
        <x:v>2</x:v>
      </x:c>
      <x:c r="H5" t="n">
        <x:v>17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546</x:v>
      </x:c>
      <x:c r="C2" t="n">
        <x:v>460</x:v>
      </x:c>
      <x:c r="D2" t="n">
        <x:f>C2-B2</x:f>
        <x:v>-86</x:v>
      </x:c>
      <x:c r="E2" t="n">
        <x:f>ABS(D2)</x:f>
        <x:v>86</x:v>
      </x:c>
      <x:c r="F2" s="22" t="n">
        <x:f>IFERROR(E2/C2,0)</x:f>
        <x:v>0.18695652173913044</x:v>
      </x:c>
      <x:c r="G2" t="str">
        <x:v>Formula columns should calculate error and accuracy</x:v>
      </x:c>
    </x:row>
    <x:row r="3">
      <x:c r="A3" t="n">
        <x:v>45505</x:v>
      </x:c>
      <x:c r="B3" t="n">
        <x:v>583</x:v>
      </x:c>
      <x:c r="C3" t="n">
        <x:v>661</x:v>
      </x:c>
      <x:c r="D3" t="n">
        <x:f>C3-B3</x:f>
        <x:v>78</x:v>
      </x:c>
      <x:c r="E3" t="n">
        <x:f>ABS(D3)</x:f>
        <x:v>78</x:v>
      </x:c>
      <x:c r="F3" s="22" t="n">
        <x:f>IFERROR(E3/C3,0)</x:f>
        <x:v>0.11800302571860817</x:v>
      </x:c>
      <x:c r="G3" t="str">
        <x:v>Formula columns should calculate error and accuracy</x:v>
      </x:c>
    </x:row>
    <x:row r="4">
      <x:c r="A4" t="n">
        <x:v>45536</x:v>
      </x:c>
      <x:c r="B4" t="n">
        <x:v>684</x:v>
      </x:c>
      <x:c r="C4" t="n">
        <x:v>748</x:v>
      </x:c>
      <x:c r="D4" t="n">
        <x:f>C4-B4</x:f>
        <x:v>64</x:v>
      </x:c>
      <x:c r="E4" t="n">
        <x:f>ABS(D4)</x:f>
        <x:v>64</x:v>
      </x:c>
      <x:c r="F4" s="22" t="n">
        <x:f>IFERROR(E4/C4,0)</x:f>
        <x:v>0.0855614973262032</x:v>
      </x:c>
      <x:c r="G4" t="str">
        <x:v>Formula columns should calculate error and accuracy</x:v>
      </x:c>
    </x:row>
    <x:row r="5">
      <x:c r="A5" t="n">
        <x:v>45566</x:v>
      </x:c>
      <x:c r="B5" t="n">
        <x:v>591</x:v>
      </x:c>
      <x:c r="C5" t="n">
        <x:v>499</x:v>
      </x:c>
      <x:c r="D5" t="n">
        <x:f>C5-B5</x:f>
        <x:v>-92</x:v>
      </x:c>
      <x:c r="E5" t="n">
        <x:f>ABS(D5)</x:f>
        <x:v>92</x:v>
      </x:c>
      <x:c r="F5" s="22" t="n">
        <x:f>IFERROR(E5/C5,0)</x:f>
        <x:v>0.1843687374749499</x:v>
      </x:c>
      <x:c r="G5" t="str">
        <x:v>Formula columns should calculate error and accuracy</x:v>
      </x:c>
    </x:row>
    <x:row r="6">
      <x:c r="A6" t="n">
        <x:v>45597</x:v>
      </x:c>
      <x:c r="B6" t="n">
        <x:v>685</x:v>
      </x:c>
      <x:c r="C6" t="n">
        <x:v>618</x:v>
      </x:c>
      <x:c r="D6" t="n">
        <x:f>C6-B6</x:f>
        <x:v>-67</x:v>
      </x:c>
      <x:c r="E6" t="n">
        <x:f>ABS(D6)</x:f>
        <x:v>67</x:v>
      </x:c>
      <x:c r="F6" s="22" t="n">
        <x:f>IFERROR(E6/C6,0)</x:f>
        <x:v>0.10841423948220065</x:v>
      </x:c>
      <x:c r="G6" t="str">
        <x:v>Formula columns should calculate error and accuracy</x:v>
      </x:c>
    </x:row>
    <x:row r="7">
      <x:c r="A7" t="n">
        <x:v>45627</x:v>
      </x:c>
      <x:c r="B7" t="n">
        <x:v>665</x:v>
      </x:c>
      <x:c r="C7" t="n">
        <x:v>641</x:v>
      </x:c>
      <x:c r="D7" t="n">
        <x:f>C7-B7</x:f>
        <x:v>-24</x:v>
      </x:c>
      <x:c r="E7" t="n">
        <x:f>ABS(D7)</x:f>
        <x:v>24</x:v>
      </x:c>
      <x:c r="F7" s="22" t="n">
        <x:f>IFERROR(E7/C7,0)</x:f>
        <x:v>0.0374414976599064</x:v>
      </x:c>
      <x:c r="G7" t="str">
        <x:v>Formula columns should calculate error and accuracy</x:v>
      </x:c>
    </x:row>
    <x:row r="8">
      <x:c r="A8" t="n">
        <x:v>45658</x:v>
      </x:c>
      <x:c r="B8" t="n">
        <x:v>666</x:v>
      </x:c>
      <x:c r="C8" t="n">
        <x:v>710</x:v>
      </x:c>
      <x:c r="D8" t="n">
        <x:f>C8-B8</x:f>
        <x:v>44</x:v>
      </x:c>
      <x:c r="E8" t="n">
        <x:f>ABS(D8)</x:f>
        <x:v>44</x:v>
      </x:c>
      <x:c r="F8" s="22" t="n">
        <x:f>IFERROR(E8/C8,0)</x:f>
        <x:v>0.061971830985915494</x:v>
      </x:c>
      <x:c r="G8" t="str">
        <x:v>Formula columns should calculate error and accuracy</x:v>
      </x:c>
    </x:row>
    <x:row r="9">
      <x:c r="A9" t="n">
        <x:v>45689</x:v>
      </x:c>
      <x:c r="B9" t="n">
        <x:v>708</x:v>
      </x:c>
      <x:c r="C9" t="n">
        <x:v>740</x:v>
      </x:c>
      <x:c r="D9" t="n">
        <x:f>C9-B9</x:f>
        <x:v>32</x:v>
      </x:c>
      <x:c r="E9" t="n">
        <x:f>ABS(D9)</x:f>
        <x:v>32</x:v>
      </x:c>
      <x:c r="F9" s="22" t="n">
        <x:f>IFERROR(E9/C9,0)</x:f>
        <x:v>0.043243243243243246</x:v>
      </x:c>
      <x:c r="G9" t="str">
        <x:v>Formula columns should calculate error and accuracy</x:v>
      </x:c>
    </x:row>
    <x:row r="10">
      <x:c r="A10" t="n">
        <x:v>45717</x:v>
      </x:c>
      <x:c r="B10" t="n">
        <x:v>658</x:v>
      </x:c>
      <x:c r="C10" t="n">
        <x:v>710</x:v>
      </x:c>
      <x:c r="D10" t="n">
        <x:f>C10-B10</x:f>
        <x:v>52</x:v>
      </x:c>
      <x:c r="E10" t="n">
        <x:f>ABS(D10)</x:f>
        <x:v>52</x:v>
      </x:c>
      <x:c r="F10" s="22" t="n">
        <x:f>IFERROR(E10/C10,0)</x:f>
        <x:v>0.07323943661971831</x:v>
      </x:c>
      <x:c r="G10" t="str">
        <x:v>Formula columns should calculate error and accuracy</x:v>
      </x:c>
    </x:row>
    <x:row r="11">
      <x:c r="A11" t="n">
        <x:v>45748</x:v>
      </x:c>
      <x:c r="B11" t="n">
        <x:v>692</x:v>
      </x:c>
      <x:c r="C11" t="n">
        <x:v>709</x:v>
      </x:c>
      <x:c r="D11" t="n">
        <x:f>C11-B11</x:f>
        <x:v>17</x:v>
      </x:c>
      <x:c r="E11" t="n">
        <x:f>ABS(D11)</x:f>
        <x:v>17</x:v>
      </x:c>
      <x:c r="F11" s="22" t="n">
        <x:f>IFERROR(E11/C11,0)</x:f>
        <x:v>0.023977433004231313</x:v>
      </x:c>
      <x:c r="G11" t="str">
        <x:v>Formula columns should calculate error and accuracy</x:v>
      </x:c>
    </x:row>
    <x:row r="12">
      <x:c r="A12" t="n">
        <x:v>45778</x:v>
      </x:c>
      <x:c r="B12" t="n">
        <x:v>763</x:v>
      </x:c>
      <x:c r="C12" t="n">
        <x:v>838</x:v>
      </x:c>
      <x:c r="D12" t="n">
        <x:f>C12-B12</x:f>
        <x:v>75</x:v>
      </x:c>
      <x:c r="E12" t="n">
        <x:f>ABS(D12)</x:f>
        <x:v>75</x:v>
      </x:c>
      <x:c r="F12" s="22" t="n">
        <x:f>IFERROR(E12/C12,0)</x:f>
        <x:v>0.08949880668257756</x:v>
      </x:c>
      <x:c r="G12" t="str">
        <x:v>Formula columns should calculate error and accuracy</x:v>
      </x:c>
    </x:row>
    <x:row r="13">
      <x:c r="A13" t="n">
        <x:v>45809</x:v>
      </x:c>
      <x:c r="B13" t="n">
        <x:v>760</x:v>
      </x:c>
      <x:c r="C13" t="n">
        <x:v>637</x:v>
      </x:c>
      <x:c r="D13" t="n">
        <x:f>C13-B13</x:f>
        <x:v>-123</x:v>
      </x:c>
      <x:c r="E13" t="n">
        <x:f>ABS(D13)</x:f>
        <x:v>123</x:v>
      </x:c>
      <x:c r="F13" s="22" t="n">
        <x:f>IFERROR(E13/C13,0)</x:f>
        <x:v>0.19309262166405022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77</x:v>
      </x:c>
      <x:c r="E2" t="n">
        <x:v>436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95</x:v>
      </x:c>
      <x:c r="E3" t="n">
        <x:v>706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65</x:v>
      </x:c>
      <x:c r="E4" t="n">
        <x:v>481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48</x:v>
      </x:c>
      <x:c r="E5" t="n">
        <x:v>218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61</x:v>
      </x:c>
      <x:c r="E6" t="n">
        <x:v>312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94</x:v>
      </x:c>
      <x:c r="E7" t="n">
        <x:v>666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73</x:v>
      </x:c>
      <x:c r="E8" t="n">
        <x:v>510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85</x:v>
      </x:c>
      <x:c r="E9" t="n">
        <x:v>562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9</x:v>
      </x:c>
      <x:c r="F2" t="n">
        <x:v>26850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4</x:v>
      </x:c>
      <x:c r="F3" t="n">
        <x:v>9374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2</x:v>
      </x:c>
      <x:c r="F4" t="n">
        <x:v>4378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Bi-weekly</x:v>
      </x:c>
      <x:c r="E5" t="n">
        <x:v>9</x:v>
      </x:c>
      <x:c r="F5" t="n">
        <x:v>18827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Weekly</x:v>
      </x:c>
      <x:c r="E6" t="n">
        <x:v>7</x:v>
      </x:c>
      <x:c r="F6" t="n">
        <x:v>16253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117</x:v>
      </x:c>
      <x:c r="F2" t="n">
        <x:v>79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61</x:v>
      </x:c>
      <x:c r="F3" t="n">
        <x:v>88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42</x:v>
      </x:c>
      <x:c r="F4" t="n">
        <x:v>70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15</x:v>
      </x:c>
      <x:c r="F5" t="n">
        <x:v>74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Power Bank Anker Electronics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Power Bank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Electronics competitor pricing promotions Bangladesh Anker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Power Bank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82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89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64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61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Extreme demand spike should be flagged as outlier.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