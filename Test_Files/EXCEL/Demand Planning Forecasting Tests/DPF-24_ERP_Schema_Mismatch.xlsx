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deca3e4ad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f908a66973804090"/>
    <x:sheet xmlns:r="http://schemas.openxmlformats.org/officeDocument/2006/relationships" name="Historical_Sales" sheetId="2" r:id="R615f5edad7ad447a"/>
    <x:sheet xmlns:r="http://schemas.openxmlformats.org/officeDocument/2006/relationships" name="Inventory" sheetId="3" r:id="R86ff577d33534be4"/>
    <x:sheet xmlns:r="http://schemas.openxmlformats.org/officeDocument/2006/relationships" name="Promotions" sheetId="4" r:id="R940423d36d1d4746"/>
    <x:sheet xmlns:r="http://schemas.openxmlformats.org/officeDocument/2006/relationships" name="Competitors" sheetId="5" r:id="R7cc300517d9d45c2"/>
    <x:sheet xmlns:r="http://schemas.openxmlformats.org/officeDocument/2006/relationships" name="Economic" sheetId="6" r:id="Re4969ee6881849ae"/>
    <x:sheet xmlns:r="http://schemas.openxmlformats.org/officeDocument/2006/relationships" name="Lead_Time" sheetId="7" r:id="Rf33e1a74773e4b9e"/>
    <x:sheet xmlns:r="http://schemas.openxmlformats.org/officeDocument/2006/relationships" name="Forecast_Actual" sheetId="8" r:id="R06b8057aa9634bad"/>
    <x:sheet xmlns:r="http://schemas.openxmlformats.org/officeDocument/2006/relationships" name="Regional_Demand_Map" sheetId="9" r:id="Ref0b54092a28470f"/>
    <x:sheet xmlns:r="http://schemas.openxmlformats.org/officeDocument/2006/relationships" name="SCM_Flow_Map" sheetId="10" r:id="R48900c5789434a7c"/>
    <x:sheet xmlns:r="http://schemas.openxmlformats.org/officeDocument/2006/relationships" name="Customer_Patterns" sheetId="11" r:id="Ra0dcfa972f004c8f"/>
    <x:sheet xmlns:r="http://schemas.openxmlformats.org/officeDocument/2006/relationships" name="Technology_Data" sheetId="12" r:id="R1b34c7c3a3ab4937"/>
    <x:sheet xmlns:r="http://schemas.openxmlformats.org/officeDocument/2006/relationships" name="Web_Search_Seeds" sheetId="13" r:id="Rddc001136b124ba9"/>
    <x:sheet xmlns:r="http://schemas.openxmlformats.org/officeDocument/2006/relationships" name="Manual_Expert_Opinion" sheetId="14" r:id="R0c262edeebb74c7b"/>
    <x:sheet xmlns:r="http://schemas.openxmlformats.org/officeDocument/2006/relationships" name="Data_Issues" sheetId="15" r:id="R393039da9fab4d55"/>
    <x:sheet xmlns:r="http://schemas.openxmlformats.org/officeDocument/2006/relationships" name="ERP_Raw_Export_Messy" sheetId="16" r:id="Rcb27b160c5f4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  <x:fill>
      <x:patternFill patternType="solid">
        <x:fgColor rgb="92400E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f176e05c2409a" /><Relationship Type="http://schemas.openxmlformats.org/officeDocument/2006/relationships/theme" Target="/xl/theme/theme1.xml" Id="Rb1431fde223d4484" /><Relationship Type="http://schemas.openxmlformats.org/officeDocument/2006/relationships/sharedStrings" Target="/xl/sharedStrings.xml" Id="R273efb0f39df4aec" /><Relationship Type="http://schemas.openxmlformats.org/officeDocument/2006/relationships/worksheet" Target="/xl/worksheets/sheet1.xml" Id="Rf908a66973804090" /><Relationship Type="http://schemas.openxmlformats.org/officeDocument/2006/relationships/worksheet" Target="/xl/worksheets/sheet2.xml" Id="R615f5edad7ad447a" /><Relationship Type="http://schemas.openxmlformats.org/officeDocument/2006/relationships/worksheet" Target="/xl/worksheets/sheet3.xml" Id="R86ff577d33534be4" /><Relationship Type="http://schemas.openxmlformats.org/officeDocument/2006/relationships/worksheet" Target="/xl/worksheets/sheet4.xml" Id="R940423d36d1d4746" /><Relationship Type="http://schemas.openxmlformats.org/officeDocument/2006/relationships/worksheet" Target="/xl/worksheets/sheet5.xml" Id="R7cc300517d9d45c2" /><Relationship Type="http://schemas.openxmlformats.org/officeDocument/2006/relationships/worksheet" Target="/xl/worksheets/sheet6.xml" Id="Re4969ee6881849ae" /><Relationship Type="http://schemas.openxmlformats.org/officeDocument/2006/relationships/worksheet" Target="/xl/worksheets/sheet7.xml" Id="Rf33e1a74773e4b9e" /><Relationship Type="http://schemas.openxmlformats.org/officeDocument/2006/relationships/worksheet" Target="/xl/worksheets/sheet8.xml" Id="R06b8057aa9634bad" /><Relationship Type="http://schemas.openxmlformats.org/officeDocument/2006/relationships/worksheet" Target="/xl/worksheets/sheet9.xml" Id="Ref0b54092a28470f" /><Relationship Type="http://schemas.openxmlformats.org/officeDocument/2006/relationships/worksheet" Target="/xl/worksheets/sheet10.xml" Id="R48900c5789434a7c" /><Relationship Type="http://schemas.openxmlformats.org/officeDocument/2006/relationships/worksheet" Target="/xl/worksheets/sheet11.xml" Id="Ra0dcfa972f004c8f" /><Relationship Type="http://schemas.openxmlformats.org/officeDocument/2006/relationships/worksheet" Target="/xl/worksheets/sheet12.xml" Id="R1b34c7c3a3ab4937" /><Relationship Type="http://schemas.openxmlformats.org/officeDocument/2006/relationships/worksheet" Target="/xl/worksheets/sheet13.xml" Id="Rddc001136b124ba9" /><Relationship Type="http://schemas.openxmlformats.org/officeDocument/2006/relationships/worksheet" Target="/xl/worksheets/sheet14.xml" Id="R0c262edeebb74c7b" /><Relationship Type="http://schemas.openxmlformats.org/officeDocument/2006/relationships/worksheet" Target="/xl/worksheets/sheet15.xml" Id="R393039da9fab4d55" /><Relationship Type="http://schemas.openxmlformats.org/officeDocument/2006/relationships/worksheet" Target="/xl/worksheets/sheet16.xml" Id="Rcb27b160c5f444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DPF-24</x:v>
      </x:c>
    </x:row>
    <x:row r="3">
      <x:c r="A3" t="str">
        <x:v>Scenario Title</x:v>
      </x:c>
      <x:c r="B3" t="str">
        <x:v>ERP Schema Mismatch</x:v>
      </x:c>
    </x:row>
    <x:row r="4">
      <x:c r="A4" t="str">
        <x:v>Purpose</x:v>
      </x:c>
      <x:c r="B4" t="str">
        <x:v>Test flexible column mapping for ERP-like exports.</x:v>
      </x:c>
    </x:row>
    <x:row r="5">
      <x:c r="A5" t="str">
        <x:v>Product Name</x:v>
      </x:c>
      <x:c r="B5" t="str">
        <x:v>Office Chair</x:v>
      </x:c>
    </x:row>
    <x:row r="6">
      <x:c r="A6" t="str">
        <x:v>Category</x:v>
      </x:c>
      <x:c r="B6" t="str">
        <x:v>Furniture</x:v>
      </x:c>
    </x:row>
    <x:row r="7">
      <x:c r="A7" t="str">
        <x:v>Brand</x:v>
      </x:c>
      <x:c r="B7" t="str">
        <x:v>Hatil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Messy/Edge Case</x:v>
      </x:c>
    </x:row>
    <x:row r="10">
      <x:c r="A10" t="str">
        <x:v>Modules Covered</x:v>
      </x:c>
      <x:c r="B10" t="str">
        <x:v>Technology &amp; Data Tools, Inventory</x:v>
      </x:c>
    </x:row>
    <x:row r="11">
      <x:c r="A11" t="str">
        <x:v>Recommended Inputs To Tick</x:v>
      </x:c>
      <x:c r="B11" t="str">
        <x:v>POS / ERP Data, Inventory Levels, Uploaded File Data</x:v>
      </x:c>
    </x:row>
    <x:row r="12">
      <x:c r="A12" t="str">
        <x:v>Recommended Outputs To Tick</x:v>
      </x:c>
      <x:c r="B12" t="str">
        <x:v>Data Quality Score, Inventory Requirement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Office Chair</x:v>
      </x:c>
      <x:c r="C2" t="str">
        <x:v>Furniture</x:v>
      </x:c>
      <x:c r="D2" t="str">
        <x:v>Hatil</x:v>
      </x:c>
      <x:c r="E2" t="str">
        <x:v>Dhaka</x:v>
      </x:c>
      <x:c r="F2" t="str">
        <x:v>Retail</x:v>
      </x:c>
      <x:c r="G2" t="n">
        <x:v>468</x:v>
      </x:c>
      <x:c r="H2" t="n">
        <x:v>8500</x:v>
      </x:c>
      <x:c r="I2" t="n">
        <x:v>3978000</x:v>
      </x:c>
      <x:c r="J2" t="str"/>
    </x:row>
    <x:row r="3">
      <x:c r="A3" t="n">
        <x:v>45323</x:v>
      </x:c>
      <x:c r="B3" t="str">
        <x:v>Office Chair</x:v>
      </x:c>
      <x:c r="C3" t="str">
        <x:v>Furniture</x:v>
      </x:c>
      <x:c r="D3" t="str">
        <x:v>Hatil</x:v>
      </x:c>
      <x:c r="E3" t="str">
        <x:v>Chattogram</x:v>
      </x:c>
      <x:c r="F3" t="str">
        <x:v>Online</x:v>
      </x:c>
      <x:c r="G3" t="n">
        <x:v>430</x:v>
      </x:c>
      <x:c r="H3" t="n">
        <x:v>8500</x:v>
      </x:c>
      <x:c r="I3" t="n">
        <x:v>3655000</x:v>
      </x:c>
      <x:c r="J3" t="str"/>
    </x:row>
    <x:row r="4">
      <x:c r="A4" t="n">
        <x:v>45352</x:v>
      </x:c>
      <x:c r="B4" t="str">
        <x:v>Office Chair</x:v>
      </x:c>
      <x:c r="C4" t="str">
        <x:v>Furniture</x:v>
      </x:c>
      <x:c r="D4" t="str">
        <x:v>Hatil</x:v>
      </x:c>
      <x:c r="E4" t="str">
        <x:v>Sylhet</x:v>
      </x:c>
      <x:c r="F4" t="str">
        <x:v>Wholesale</x:v>
      </x:c>
      <x:c r="G4" t="n">
        <x:v>478</x:v>
      </x:c>
      <x:c r="H4" t="n">
        <x:v>8500</x:v>
      </x:c>
      <x:c r="I4" t="n">
        <x:v>4063000</x:v>
      </x:c>
      <x:c r="J4" t="str"/>
    </x:row>
    <x:row r="5">
      <x:c r="A5" t="n">
        <x:v>45383</x:v>
      </x:c>
      <x:c r="B5" t="str">
        <x:v>Office Chair</x:v>
      </x:c>
      <x:c r="C5" t="str">
        <x:v>Furniture</x:v>
      </x:c>
      <x:c r="D5" t="str">
        <x:v>Hatil</x:v>
      </x:c>
      <x:c r="E5" t="str">
        <x:v>Rajshahi</x:v>
      </x:c>
      <x:c r="F5" t="str">
        <x:v>Modern Trade</x:v>
      </x:c>
      <x:c r="G5" t="n">
        <x:v>398</x:v>
      </x:c>
      <x:c r="H5" t="n">
        <x:v>8500</x:v>
      </x:c>
      <x:c r="I5" t="n">
        <x:v>3383000</x:v>
      </x:c>
      <x:c r="J5" t="str"/>
    </x:row>
    <x:row r="6">
      <x:c r="A6" t="n">
        <x:v>45413</x:v>
      </x:c>
      <x:c r="B6" t="str">
        <x:v>Office Chair</x:v>
      </x:c>
      <x:c r="C6" t="str">
        <x:v>Furniture</x:v>
      </x:c>
      <x:c r="D6" t="str">
        <x:v>Hatil</x:v>
      </x:c>
      <x:c r="E6" t="str">
        <x:v>Khulna</x:v>
      </x:c>
      <x:c r="F6" t="str">
        <x:v>Retail</x:v>
      </x:c>
      <x:c r="G6" t="n">
        <x:v>495</x:v>
      </x:c>
      <x:c r="H6" t="n">
        <x:v>8500</x:v>
      </x:c>
      <x:c r="I6" t="n">
        <x:v>4207500</x:v>
      </x:c>
      <x:c r="J6" t="str"/>
    </x:row>
    <x:row r="7">
      <x:c r="A7" t="n">
        <x:v>45444</x:v>
      </x:c>
      <x:c r="B7" t="str">
        <x:v>Office Chair</x:v>
      </x:c>
      <x:c r="C7" t="str">
        <x:v>Furniture</x:v>
      </x:c>
      <x:c r="D7" t="str">
        <x:v>Hatil</x:v>
      </x:c>
      <x:c r="E7" t="str">
        <x:v>Barishal</x:v>
      </x:c>
      <x:c r="F7" t="str">
        <x:v>Online</x:v>
      </x:c>
      <x:c r="G7" t="n">
        <x:v>417</x:v>
      </x:c>
      <x:c r="H7" t="n">
        <x:v>8500</x:v>
      </x:c>
      <x:c r="I7" t="n">
        <x:v>3544500</x:v>
      </x:c>
      <x:c r="J7" t="str"/>
    </x:row>
    <x:row r="8">
      <x:c r="A8" t="n">
        <x:v>45474</x:v>
      </x:c>
      <x:c r="B8" t="str">
        <x:v>Office Chair</x:v>
      </x:c>
      <x:c r="C8" t="str">
        <x:v>Furniture</x:v>
      </x:c>
      <x:c r="D8" t="str">
        <x:v>Hatil</x:v>
      </x:c>
      <x:c r="E8" t="str">
        <x:v>Rangpur</x:v>
      </x:c>
      <x:c r="F8" t="str">
        <x:v>Wholesale</x:v>
      </x:c>
      <x:c r="G8" t="n">
        <x:v>509</x:v>
      </x:c>
      <x:c r="H8" t="n">
        <x:v>8500</x:v>
      </x:c>
      <x:c r="I8" t="n">
        <x:v>4326500</x:v>
      </x:c>
      <x:c r="J8" t="str"/>
    </x:row>
    <x:row r="9">
      <x:c r="A9" t="n">
        <x:v>45505</x:v>
      </x:c>
      <x:c r="B9" t="str">
        <x:v>Office Chair</x:v>
      </x:c>
      <x:c r="C9" t="str">
        <x:v>Furniture</x:v>
      </x:c>
      <x:c r="D9" t="str">
        <x:v>Hatil</x:v>
      </x:c>
      <x:c r="E9" t="str">
        <x:v>Mymensingh</x:v>
      </x:c>
      <x:c r="F9" t="str">
        <x:v>Modern Trade</x:v>
      </x:c>
      <x:c r="G9" t="n">
        <x:v>438</x:v>
      </x:c>
      <x:c r="H9" t="n">
        <x:v>8500</x:v>
      </x:c>
      <x:c r="I9" t="n">
        <x:v>3723000</x:v>
      </x:c>
      <x:c r="J9" t="str"/>
    </x:row>
    <x:row r="10">
      <x:c r="A10" t="n">
        <x:v>45536</x:v>
      </x:c>
      <x:c r="B10" t="str">
        <x:v>Office Chair</x:v>
      </x:c>
      <x:c r="C10" t="str">
        <x:v>Furniture</x:v>
      </x:c>
      <x:c r="D10" t="str">
        <x:v>Hatil</x:v>
      </x:c>
      <x:c r="E10" t="str">
        <x:v>Dhaka</x:v>
      </x:c>
      <x:c r="F10" t="str">
        <x:v>Retail</x:v>
      </x:c>
      <x:c r="G10" t="n">
        <x:v>426</x:v>
      </x:c>
      <x:c r="H10" t="n">
        <x:v>8500</x:v>
      </x:c>
      <x:c r="I10" t="n">
        <x:v>3621000</x:v>
      </x:c>
      <x:c r="J10" t="str"/>
    </x:row>
    <x:row r="11">
      <x:c r="A11" t="n">
        <x:v>45566</x:v>
      </x:c>
      <x:c r="B11" t="str">
        <x:v>Office Chair</x:v>
      </x:c>
      <x:c r="C11" t="str">
        <x:v>Furniture</x:v>
      </x:c>
      <x:c r="D11" t="str">
        <x:v>Hatil</x:v>
      </x:c>
      <x:c r="E11" t="str">
        <x:v>Chattogram</x:v>
      </x:c>
      <x:c r="F11" t="str">
        <x:v>Online</x:v>
      </x:c>
      <x:c r="G11" t="n">
        <x:v>469</x:v>
      </x:c>
      <x:c r="H11" t="n">
        <x:v>8500</x:v>
      </x:c>
      <x:c r="I11" t="n">
        <x:v>3986500</x:v>
      </x:c>
      <x:c r="J11" t="str"/>
    </x:row>
    <x:row r="12">
      <x:c r="A12" t="n">
        <x:v>45597</x:v>
      </x:c>
      <x:c r="B12" t="str">
        <x:v>Office Chair</x:v>
      </x:c>
      <x:c r="C12" t="str">
        <x:v>Furniture</x:v>
      </x:c>
      <x:c r="D12" t="str">
        <x:v>Hatil</x:v>
      </x:c>
      <x:c r="E12" t="str">
        <x:v>Sylhet</x:v>
      </x:c>
      <x:c r="F12" t="str">
        <x:v>Wholesale</x:v>
      </x:c>
      <x:c r="G12" t="n">
        <x:v>509</x:v>
      </x:c>
      <x:c r="H12" t="n">
        <x:v>8500</x:v>
      </x:c>
      <x:c r="I12" t="n">
        <x:v>4326500</x:v>
      </x:c>
      <x:c r="J12" t="str"/>
    </x:row>
    <x:row r="13">
      <x:c r="A13" t="n">
        <x:v>45627</x:v>
      </x:c>
      <x:c r="B13" t="str">
        <x:v>Office Chair</x:v>
      </x:c>
      <x:c r="C13" t="str">
        <x:v>Furniture</x:v>
      </x:c>
      <x:c r="D13" t="str">
        <x:v>Hatil</x:v>
      </x:c>
      <x:c r="E13" t="str">
        <x:v>Rajshahi</x:v>
      </x:c>
      <x:c r="F13" t="str">
        <x:v>Modern Trade</x:v>
      </x:c>
      <x:c r="G13" t="n">
        <x:v>467</x:v>
      </x:c>
      <x:c r="H13" t="n">
        <x:v>8500</x:v>
      </x:c>
      <x:c r="I13" t="n">
        <x:v>3969500</x:v>
      </x:c>
      <x:c r="J13" t="str"/>
    </x:row>
    <x:row r="14">
      <x:c r="A14" t="n">
        <x:v>45658</x:v>
      </x:c>
      <x:c r="B14" t="str">
        <x:v>Office Chair</x:v>
      </x:c>
      <x:c r="C14" t="str">
        <x:v>Furniture</x:v>
      </x:c>
      <x:c r="D14" t="str">
        <x:v>Hatil</x:v>
      </x:c>
      <x:c r="E14" t="str">
        <x:v>Khulna</x:v>
      </x:c>
      <x:c r="F14" t="str">
        <x:v>Retail</x:v>
      </x:c>
      <x:c r="G14" t="n">
        <x:v>508</x:v>
      </x:c>
      <x:c r="H14" t="n">
        <x:v>8500</x:v>
      </x:c>
      <x:c r="I14" t="n">
        <x:v>4318000</x:v>
      </x:c>
      <x:c r="J14" t="str"/>
    </x:row>
    <x:row r="15">
      <x:c r="A15" t="n">
        <x:v>45689</x:v>
      </x:c>
      <x:c r="B15" t="str">
        <x:v>Office Chair</x:v>
      </x:c>
      <x:c r="C15" t="str">
        <x:v>Furniture</x:v>
      </x:c>
      <x:c r="D15" t="str">
        <x:v>Hatil</x:v>
      </x:c>
      <x:c r="E15" t="str">
        <x:v>Barishal</x:v>
      </x:c>
      <x:c r="F15" t="str">
        <x:v>Online</x:v>
      </x:c>
      <x:c r="G15" t="n">
        <x:v>503</x:v>
      </x:c>
      <x:c r="H15" t="n">
        <x:v>8500</x:v>
      </x:c>
      <x:c r="I15" t="n">
        <x:v>4275500</x:v>
      </x:c>
      <x:c r="J15" t="str"/>
    </x:row>
    <x:row r="16">
      <x:c r="A16" t="n">
        <x:v>45717</x:v>
      </x:c>
      <x:c r="B16" t="str">
        <x:v>Office Chair</x:v>
      </x:c>
      <x:c r="C16" t="str">
        <x:v>Furniture</x:v>
      </x:c>
      <x:c r="D16" t="str">
        <x:v>Hatil</x:v>
      </x:c>
      <x:c r="E16" t="str">
        <x:v>Rangpur</x:v>
      </x:c>
      <x:c r="F16" t="str">
        <x:v>Wholesale</x:v>
      </x:c>
      <x:c r="G16" t="n">
        <x:v>494</x:v>
      </x:c>
      <x:c r="H16" t="n">
        <x:v>8500</x:v>
      </x:c>
      <x:c r="I16" t="n">
        <x:v>4199000</x:v>
      </x:c>
      <x:c r="J16" t="str"/>
    </x:row>
    <x:row r="17">
      <x:c r="A17" t="n">
        <x:v>45748</x:v>
      </x:c>
      <x:c r="B17" t="str">
        <x:v>Office Chair</x:v>
      </x:c>
      <x:c r="C17" t="str">
        <x:v>Furniture</x:v>
      </x:c>
      <x:c r="D17" t="str">
        <x:v>Hatil</x:v>
      </x:c>
      <x:c r="E17" t="str">
        <x:v>Mymensingh</x:v>
      </x:c>
      <x:c r="F17" t="str">
        <x:v>Modern Trade</x:v>
      </x:c>
      <x:c r="G17" t="n">
        <x:v>524</x:v>
      </x:c>
      <x:c r="H17" t="n">
        <x:v>8500</x:v>
      </x:c>
      <x:c r="I17" t="n">
        <x:v>4454000</x:v>
      </x:c>
      <x:c r="J17" t="str"/>
    </x:row>
    <x:row r="18">
      <x:c r="A18" t="n">
        <x:v>45778</x:v>
      </x:c>
      <x:c r="B18" t="str">
        <x:v>Office Chair</x:v>
      </x:c>
      <x:c r="C18" t="str">
        <x:v>Furniture</x:v>
      </x:c>
      <x:c r="D18" t="str">
        <x:v>Hatil</x:v>
      </x:c>
      <x:c r="E18" t="str">
        <x:v>Dhaka</x:v>
      </x:c>
      <x:c r="F18" t="str">
        <x:v>Retail</x:v>
      </x:c>
      <x:c r="G18" t="n">
        <x:v>490</x:v>
      </x:c>
      <x:c r="H18" t="n">
        <x:v>8500</x:v>
      </x:c>
      <x:c r="I18" t="n">
        <x:v>4165000</x:v>
      </x:c>
      <x:c r="J18" t="str"/>
    </x:row>
    <x:row r="19">
      <x:c r="A19" t="n">
        <x:v>45809</x:v>
      </x:c>
      <x:c r="B19" t="str">
        <x:v>Office Chair</x:v>
      </x:c>
      <x:c r="C19" t="str">
        <x:v>Furniture</x:v>
      </x:c>
      <x:c r="D19" t="str">
        <x:v>Hatil</x:v>
      </x:c>
      <x:c r="E19" t="str">
        <x:v>Chattogram</x:v>
      </x:c>
      <x:c r="F19" t="str">
        <x:v>Online</x:v>
      </x:c>
      <x:c r="G19" t="n">
        <x:v>554</x:v>
      </x:c>
      <x:c r="H19" t="n">
        <x:v>8500</x:v>
      </x:c>
      <x:c r="I19" t="n">
        <x:v>4709000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HAT-DPF-24-01</x:v>
      </x:c>
      <x:c r="B2" t="str">
        <x:v>Office Chair</x:v>
      </x:c>
      <x:c r="C2" t="str">
        <x:v>Furniture</x:v>
      </x:c>
      <x:c r="D2" t="str">
        <x:v>Hatil</x:v>
      </x:c>
      <x:c r="E2" t="str">
        <x:v>Dhaka</x:v>
      </x:c>
      <x:c r="F2" t="str">
        <x:v>Dhaka DC</x:v>
      </x:c>
      <x:c r="G2" t="n">
        <x:v>880</x:v>
      </x:c>
      <x:c r="H2" t="n">
        <x:v>695</x:v>
      </x:c>
      <x:c r="I2" t="n">
        <x:v>1427</x:v>
      </x:c>
      <x:c r="J2" t="n">
        <x:v>471</x:v>
      </x:c>
      <x:c r="K2" t="n">
        <x:v>120</x:v>
      </x:c>
      <x:c r="L2" t="n">
        <x:v>45672</x:v>
      </x:c>
      <x:c r="M2" t="str">
        <x:v>Reorder Needed</x:v>
      </x:c>
    </x:row>
    <x:row r="3">
      <x:c r="A3" t="str">
        <x:v>HAT-DPF-24-02</x:v>
      </x:c>
      <x:c r="B3" t="str">
        <x:v>Office Chair</x:v>
      </x:c>
      <x:c r="C3" t="str">
        <x:v>Furniture</x:v>
      </x:c>
      <x:c r="D3" t="str">
        <x:v>Hatil</x:v>
      </x:c>
      <x:c r="E3" t="str">
        <x:v>Chattogram</x:v>
      </x:c>
      <x:c r="F3" t="str">
        <x:v>Chattogram DC</x:v>
      </x:c>
      <x:c r="G3" t="n">
        <x:v>3008</x:v>
      </x:c>
      <x:c r="H3" t="n">
        <x:v>624</x:v>
      </x:c>
      <x:c r="I3" t="n">
        <x:v>1301</x:v>
      </x:c>
      <x:c r="J3" t="n">
        <x:v>113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HAT-DPF-24-03</x:v>
      </x:c>
      <x:c r="B4" t="str">
        <x:v>Office Chair</x:v>
      </x:c>
      <x:c r="C4" t="str">
        <x:v>Furniture</x:v>
      </x:c>
      <x:c r="D4" t="str">
        <x:v>Hatil</x:v>
      </x:c>
      <x:c r="E4" t="str">
        <x:v>Sylhet</x:v>
      </x:c>
      <x:c r="F4" t="str">
        <x:v>Sylhet DC</x:v>
      </x:c>
      <x:c r="G4" t="n">
        <x:v>2785</x:v>
      </x:c>
      <x:c r="H4" t="n">
        <x:v>531</x:v>
      </x:c>
      <x:c r="I4" t="n">
        <x:v>1191</x:v>
      </x:c>
      <x:c r="J4" t="n">
        <x:v>541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HAT-DPF-24-04</x:v>
      </x:c>
      <x:c r="B5" t="str">
        <x:v>Office Chair</x:v>
      </x:c>
      <x:c r="C5" t="str">
        <x:v>Furniture</x:v>
      </x:c>
      <x:c r="D5" t="str">
        <x:v>Hatil</x:v>
      </x:c>
      <x:c r="E5" t="str">
        <x:v>Rajshahi</x:v>
      </x:c>
      <x:c r="F5" t="str">
        <x:v>Rajshahi DC</x:v>
      </x:c>
      <x:c r="G5" t="n">
        <x:v>2944</x:v>
      </x:c>
      <x:c r="H5" t="n">
        <x:v>523</x:v>
      </x:c>
      <x:c r="I5" t="n">
        <x:v>1182</x:v>
      </x:c>
      <x:c r="J5" t="n">
        <x:v>300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HAT-DPF-24-05</x:v>
      </x:c>
      <x:c r="B6" t="str">
        <x:v>Office Chair</x:v>
      </x:c>
      <x:c r="C6" t="str">
        <x:v>Furniture</x:v>
      </x:c>
      <x:c r="D6" t="str">
        <x:v>Hatil</x:v>
      </x:c>
      <x:c r="E6" t="str">
        <x:v>Khulna</x:v>
      </x:c>
      <x:c r="F6" t="str">
        <x:v>Khulna DC</x:v>
      </x:c>
      <x:c r="G6" t="n">
        <x:v>2032</x:v>
      </x:c>
      <x:c r="H6" t="n">
        <x:v>521</x:v>
      </x:c>
      <x:c r="I6" t="n">
        <x:v>1122</x:v>
      </x:c>
      <x:c r="J6" t="n">
        <x:v>306</x:v>
      </x:c>
      <x:c r="K6" t="n">
        <x:v>120</x:v>
      </x:c>
      <x:c r="L6" t="n">
        <x:v>45676</x:v>
      </x:c>
      <x:c r="M6" t="str">
        <x:v>OK</x:v>
      </x:c>
    </x:row>
    <x:row r="7">
      <x:c r="A7" t="str">
        <x:v>HAT-DPF-24-06</x:v>
      </x:c>
      <x:c r="B7" t="str">
        <x:v>Office Chair</x:v>
      </x:c>
      <x:c r="C7" t="str">
        <x:v>Furniture</x:v>
      </x:c>
      <x:c r="D7" t="str">
        <x:v>Hatil</x:v>
      </x:c>
      <x:c r="E7" t="str">
        <x:v>Barishal</x:v>
      </x:c>
      <x:c r="F7" t="str">
        <x:v>Barishal DC</x:v>
      </x:c>
      <x:c r="G7" t="n">
        <x:v>3579</x:v>
      </x:c>
      <x:c r="H7" t="n">
        <x:v>626</x:v>
      </x:c>
      <x:c r="I7" t="n">
        <x:v>1475</x:v>
      </x:c>
      <x:c r="J7" t="n">
        <x:v>414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HAT-DPF-24-07</x:v>
      </x:c>
      <x:c r="B8" t="str">
        <x:v>Office Chair</x:v>
      </x:c>
      <x:c r="C8" t="str">
        <x:v>Furniture</x:v>
      </x:c>
      <x:c r="D8" t="str">
        <x:v>Hatil</x:v>
      </x:c>
      <x:c r="E8" t="str">
        <x:v>Rangpur</x:v>
      </x:c>
      <x:c r="F8" t="str">
        <x:v>Rangpur DC</x:v>
      </x:c>
      <x:c r="G8" t="n">
        <x:v>1740</x:v>
      </x:c>
      <x:c r="H8" t="n">
        <x:v>591</x:v>
      </x:c>
      <x:c r="I8" t="n">
        <x:v>1151</x:v>
      </x:c>
      <x:c r="J8" t="n">
        <x:v>233</x:v>
      </x:c>
      <x:c r="K8" t="n">
        <x:v>120</x:v>
      </x:c>
      <x:c r="L8" t="n">
        <x:v>45678</x:v>
      </x:c>
      <x:c r="M8" t="str">
        <x:v>OK</x:v>
      </x:c>
    </x:row>
    <x:row r="9">
      <x:c r="A9" t="str">
        <x:v>HAT-DPF-24-08</x:v>
      </x:c>
      <x:c r="B9" t="str">
        <x:v>Office Chair</x:v>
      </x:c>
      <x:c r="C9" t="str">
        <x:v>Furniture</x:v>
      </x:c>
      <x:c r="D9" t="str">
        <x:v>Hatil</x:v>
      </x:c>
      <x:c r="E9" t="str">
        <x:v>Mymensingh</x:v>
      </x:c>
      <x:c r="F9" t="str">
        <x:v>Mymensingh DC</x:v>
      </x:c>
      <x:c r="G9" t="n">
        <x:v>2111</x:v>
      </x:c>
      <x:c r="H9" t="n">
        <x:v>599</x:v>
      </x:c>
      <x:c r="I9" t="n">
        <x:v>1369</x:v>
      </x:c>
      <x:c r="J9" t="n">
        <x:v>331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17.3</x:v>
      </x:c>
      <x:c r="G2" t="n">
        <x:v>13.5</x:v>
      </x:c>
      <x:c r="H2" t="n">
        <x:v>112587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34.2</x:v>
      </x:c>
      <x:c r="G3" t="n">
        <x:v>38.6</x:v>
      </x:c>
      <x:c r="H3" t="n">
        <x:v>85272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16.3</x:v>
      </x:c>
      <x:c r="G4" t="n">
        <x:v>15.6</x:v>
      </x:c>
      <x:c r="H4" t="n">
        <x:v>126965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13.4</x:v>
      </x:c>
      <x:c r="G5" t="n">
        <x:v>15.2</x:v>
      </x:c>
      <x:c r="H5" t="n">
        <x:v>137602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Furniture</x:v>
      </x:c>
      <x:c r="E2" t="n">
        <x:v>9029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Furniture</x:v>
      </x:c>
      <x:c r="E3" t="n">
        <x:v>7657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Furniture</x:v>
      </x:c>
      <x:c r="E4" t="n">
        <x:v>7579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Furniture</x:v>
      </x:c>
      <x:c r="E5" t="n">
        <x:v>7045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7.35</x:v>
      </x:c>
      <x:c r="C2" t="n">
        <x:v>99.95</x:v>
      </x:c>
      <x:c r="D2" t="n">
        <x:v>87.5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8.1</x:v>
      </x:c>
      <x:c r="C3" t="n">
        <x:v>99.45</x:v>
      </x:c>
      <x:c r="D3" t="n">
        <x:v>86.06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8.19</x:v>
      </x:c>
      <x:c r="C4" t="n">
        <x:v>100.86</x:v>
      </x:c>
      <x:c r="D4" t="n">
        <x:v>86.33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8.33</x:v>
      </x:c>
      <x:c r="C5" t="n">
        <x:v>101.29</x:v>
      </x:c>
      <x:c r="D5" t="n">
        <x:v>86.23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8.66</x:v>
      </x:c>
      <x:c r="C6" t="n">
        <x:v>100.69</x:v>
      </x:c>
      <x:c r="D6" t="n">
        <x:v>85.48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8.79</x:v>
      </x:c>
      <x:c r="C7" t="n">
        <x:v>100.51</x:v>
      </x:c>
      <x:c r="D7" t="n">
        <x:v>85.21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8.74</x:v>
      </x:c>
      <x:c r="C8" t="n">
        <x:v>102.34</x:v>
      </x:c>
      <x:c r="D8" t="n">
        <x:v>85.84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8.13</x:v>
      </x:c>
      <x:c r="C9" t="n">
        <x:v>101.95</x:v>
      </x:c>
      <x:c r="D9" t="n">
        <x:v>86.76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7.85</x:v>
      </x:c>
      <x:c r="C10" t="n">
        <x:v>103.32</x:v>
      </x:c>
      <x:c r="D10" t="n">
        <x:v>87.64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7.68</x:v>
      </x:c>
      <x:c r="C11" t="n">
        <x:v>101.8</x:v>
      </x:c>
      <x:c r="D11" t="n">
        <x:v>87.48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7.12</x:v>
      </x:c>
      <x:c r="C12" t="n">
        <x:v>103.7</x:v>
      </x:c>
      <x:c r="D12" t="n">
        <x:v>89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6.87</x:v>
      </x:c>
      <x:c r="C13" t="n">
        <x:v>103.9</x:v>
      </x:c>
      <x:c r="D13" t="n">
        <x:v>89.49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6.69</x:v>
      </x:c>
      <x:c r="C14" t="n">
        <x:v>104.58</x:v>
      </x:c>
      <x:c r="D14" t="n">
        <x:v>90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6.44</x:v>
      </x:c>
      <x:c r="C15" t="n">
        <x:v>104.8</x:v>
      </x:c>
      <x:c r="D15" t="n">
        <x:v>90.49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6.54</x:v>
      </x:c>
      <x:c r="C16" t="n">
        <x:v>104.43</x:v>
      </x:c>
      <x:c r="D16" t="n">
        <x:v>90.22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6.48</x:v>
      </x:c>
      <x:c r="C17" t="n">
        <x:v>104.51</x:v>
      </x:c>
      <x:c r="D17" t="n">
        <x:v>90.34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6.72</x:v>
      </x:c>
      <x:c r="C18" t="n">
        <x:v>104.9</x:v>
      </x:c>
      <x:c r="D18" t="n">
        <x:v>90.04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7.04</x:v>
      </x:c>
      <x:c r="C19" t="n">
        <x:v>105.59</x:v>
      </x:c>
      <x:c r="D19" t="n">
        <x:v>89.7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5</x:v>
      </x:c>
      <x:c r="E2" t="n">
        <x:v>12</x:v>
      </x:c>
      <x:c r="F2" t="n">
        <x:v>6</x:v>
      </x:c>
      <x:c r="G2" t="n">
        <x:v>2</x:v>
      </x:c>
      <x:c r="H2" t="n">
        <x:v>25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12</x:v>
      </x:c>
      <x:c r="F3" t="n">
        <x:v>5</x:v>
      </x:c>
      <x:c r="G3" t="n">
        <x:v>3</x:v>
      </x:c>
      <x:c r="H3" t="n">
        <x:v>24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5</x:v>
      </x:c>
      <x:c r="E4" t="n">
        <x:v>6</x:v>
      </x:c>
      <x:c r="F4" t="n">
        <x:v>6</x:v>
      </x:c>
      <x:c r="G4" t="n">
        <x:v>2</x:v>
      </x:c>
      <x:c r="H4" t="n">
        <x:v>19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4</x:v>
      </x:c>
      <x:c r="E5" t="n">
        <x:v>10</x:v>
      </x:c>
      <x:c r="F5" t="n">
        <x:v>7</x:v>
      </x:c>
      <x:c r="G5" t="n">
        <x:v>5</x:v>
      </x:c>
      <x:c r="H5" t="n">
        <x:v>26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385</x:v>
      </x:c>
      <x:c r="C2" t="n">
        <x:v>339</x:v>
      </x:c>
      <x:c r="D2" t="n">
        <x:f>C2-B2</x:f>
        <x:v>-46</x:v>
      </x:c>
      <x:c r="E2" t="n">
        <x:f>ABS(D2)</x:f>
        <x:v>46</x:v>
      </x:c>
      <x:c r="F2" s="22" t="n">
        <x:f>IFERROR(E2/C2,0)</x:f>
        <x:v>0.13569321533923304</x:v>
      </x:c>
      <x:c r="G2" t="str">
        <x:v>Formula columns should calculate error and accuracy</x:v>
      </x:c>
    </x:row>
    <x:row r="3">
      <x:c r="A3" t="n">
        <x:v>45505</x:v>
      </x:c>
      <x:c r="B3" t="n">
        <x:v>418</x:v>
      </x:c>
      <x:c r="C3" t="n">
        <x:v>368</x:v>
      </x:c>
      <x:c r="D3" t="n">
        <x:f>C3-B3</x:f>
        <x:v>-50</x:v>
      </x:c>
      <x:c r="E3" t="n">
        <x:f>ABS(D3)</x:f>
        <x:v>50</x:v>
      </x:c>
      <x:c r="F3" s="22" t="n">
        <x:f>IFERROR(E3/C3,0)</x:f>
        <x:v>0.1358695652173913</x:v>
      </x:c>
      <x:c r="G3" t="str">
        <x:v>Formula columns should calculate error and accuracy</x:v>
      </x:c>
    </x:row>
    <x:row r="4">
      <x:c r="A4" t="n">
        <x:v>45536</x:v>
      </x:c>
      <x:c r="B4" t="n">
        <x:v>412</x:v>
      </x:c>
      <x:c r="C4" t="n">
        <x:v>406</x:v>
      </x:c>
      <x:c r="D4" t="n">
        <x:f>C4-B4</x:f>
        <x:v>-6</x:v>
      </x:c>
      <x:c r="E4" t="n">
        <x:f>ABS(D4)</x:f>
        <x:v>6</x:v>
      </x:c>
      <x:c r="F4" s="22" t="n">
        <x:f>IFERROR(E4/C4,0)</x:f>
        <x:v>0.014778325123152709</x:v>
      </x:c>
      <x:c r="G4" t="str">
        <x:v>Formula columns should calculate error and accuracy</x:v>
      </x:c>
    </x:row>
    <x:row r="5">
      <x:c r="A5" t="n">
        <x:v>45566</x:v>
      </x:c>
      <x:c r="B5" t="n">
        <x:v>430</x:v>
      </x:c>
      <x:c r="C5" t="n">
        <x:v>433</x:v>
      </x:c>
      <x:c r="D5" t="n">
        <x:f>C5-B5</x:f>
        <x:v>3</x:v>
      </x:c>
      <x:c r="E5" t="n">
        <x:f>ABS(D5)</x:f>
        <x:v>3</x:v>
      </x:c>
      <x:c r="F5" s="22" t="n">
        <x:f>IFERROR(E5/C5,0)</x:f>
        <x:v>0.006928406466512702</x:v>
      </x:c>
      <x:c r="G5" t="str">
        <x:v>Formula columns should calculate error and accuracy</x:v>
      </x:c>
    </x:row>
    <x:row r="6">
      <x:c r="A6" t="n">
        <x:v>45597</x:v>
      </x:c>
      <x:c r="B6" t="n">
        <x:v>414</x:v>
      </x:c>
      <x:c r="C6" t="n">
        <x:v>477</x:v>
      </x:c>
      <x:c r="D6" t="n">
        <x:f>C6-B6</x:f>
        <x:v>63</x:v>
      </x:c>
      <x:c r="E6" t="n">
        <x:f>ABS(D6)</x:f>
        <x:v>63</x:v>
      </x:c>
      <x:c r="F6" s="22" t="n">
        <x:f>IFERROR(E6/C6,0)</x:f>
        <x:v>0.1320754716981132</x:v>
      </x:c>
      <x:c r="G6" t="str">
        <x:v>Formula columns should calculate error and accuracy</x:v>
      </x:c>
    </x:row>
    <x:row r="7">
      <x:c r="A7" t="n">
        <x:v>45627</x:v>
      </x:c>
      <x:c r="B7" t="n">
        <x:v>452</x:v>
      </x:c>
      <x:c r="C7" t="n">
        <x:v>510</x:v>
      </x:c>
      <x:c r="D7" t="n">
        <x:f>C7-B7</x:f>
        <x:v>58</x:v>
      </x:c>
      <x:c r="E7" t="n">
        <x:f>ABS(D7)</x:f>
        <x:v>58</x:v>
      </x:c>
      <x:c r="F7" s="22" t="n">
        <x:f>IFERROR(E7/C7,0)</x:f>
        <x:v>0.11372549019607843</x:v>
      </x:c>
      <x:c r="G7" t="str">
        <x:v>Formula columns should calculate error and accuracy</x:v>
      </x:c>
    </x:row>
    <x:row r="8">
      <x:c r="A8" t="n">
        <x:v>45658</x:v>
      </x:c>
      <x:c r="B8" t="n">
        <x:v>512</x:v>
      </x:c>
      <x:c r="C8" t="n">
        <x:v>424</x:v>
      </x:c>
      <x:c r="D8" t="n">
        <x:f>C8-B8</x:f>
        <x:v>-88</x:v>
      </x:c>
      <x:c r="E8" t="n">
        <x:f>ABS(D8)</x:f>
        <x:v>88</x:v>
      </x:c>
      <x:c r="F8" s="22" t="n">
        <x:f>IFERROR(E8/C8,0)</x:f>
        <x:v>0.20754716981132076</x:v>
      </x:c>
      <x:c r="G8" t="str">
        <x:v>Formula columns should calculate error and accuracy</x:v>
      </x:c>
    </x:row>
    <x:row r="9">
      <x:c r="A9" t="n">
        <x:v>45689</x:v>
      </x:c>
      <x:c r="B9" t="n">
        <x:v>515</x:v>
      </x:c>
      <x:c r="C9" t="n">
        <x:v>541</x:v>
      </x:c>
      <x:c r="D9" t="n">
        <x:f>C9-B9</x:f>
        <x:v>26</x:v>
      </x:c>
      <x:c r="E9" t="n">
        <x:f>ABS(D9)</x:f>
        <x:v>26</x:v>
      </x:c>
      <x:c r="F9" s="22" t="n">
        <x:f>IFERROR(E9/C9,0)</x:f>
        <x:v>0.04805914972273567</x:v>
      </x:c>
      <x:c r="G9" t="str">
        <x:v>Formula columns should calculate error and accuracy</x:v>
      </x:c>
    </x:row>
    <x:row r="10">
      <x:c r="A10" t="n">
        <x:v>45717</x:v>
      </x:c>
      <x:c r="B10" t="n">
        <x:v>485</x:v>
      </x:c>
      <x:c r="C10" t="n">
        <x:v>581</x:v>
      </x:c>
      <x:c r="D10" t="n">
        <x:f>C10-B10</x:f>
        <x:v>96</x:v>
      </x:c>
      <x:c r="E10" t="n">
        <x:f>ABS(D10)</x:f>
        <x:v>96</x:v>
      </x:c>
      <x:c r="F10" s="22" t="n">
        <x:f>IFERROR(E10/C10,0)</x:f>
        <x:v>0.16523235800344235</x:v>
      </x:c>
      <x:c r="G10" t="str">
        <x:v>Formula columns should calculate error and accuracy</x:v>
      </x:c>
    </x:row>
    <x:row r="11">
      <x:c r="A11" t="n">
        <x:v>45748</x:v>
      </x:c>
      <x:c r="B11" t="n">
        <x:v>476</x:v>
      </x:c>
      <x:c r="C11" t="n">
        <x:v>465</x:v>
      </x:c>
      <x:c r="D11" t="n">
        <x:f>C11-B11</x:f>
        <x:v>-11</x:v>
      </x:c>
      <x:c r="E11" t="n">
        <x:f>ABS(D11)</x:f>
        <x:v>11</x:v>
      </x:c>
      <x:c r="F11" s="22" t="n">
        <x:f>IFERROR(E11/C11,0)</x:f>
        <x:v>0.023655913978494623</x:v>
      </x:c>
      <x:c r="G11" t="str">
        <x:v>Formula columns should calculate error and accuracy</x:v>
      </x:c>
    </x:row>
    <x:row r="12">
      <x:c r="A12" t="n">
        <x:v>45778</x:v>
      </x:c>
      <x:c r="B12" t="n">
        <x:v>543</x:v>
      </x:c>
      <x:c r="C12" t="n">
        <x:v>627</x:v>
      </x:c>
      <x:c r="D12" t="n">
        <x:f>C12-B12</x:f>
        <x:v>84</x:v>
      </x:c>
      <x:c r="E12" t="n">
        <x:f>ABS(D12)</x:f>
        <x:v>84</x:v>
      </x:c>
      <x:c r="F12" s="22" t="n">
        <x:f>IFERROR(E12/C12,0)</x:f>
        <x:v>0.1339712918660287</x:v>
      </x:c>
      <x:c r="G12" t="str">
        <x:v>Formula columns should calculate error and accuracy</x:v>
      </x:c>
    </x:row>
    <x:row r="13">
      <x:c r="A13" t="n">
        <x:v>45809</x:v>
      </x:c>
      <x:c r="B13" t="n">
        <x:v>516</x:v>
      </x:c>
      <x:c r="C13" t="n">
        <x:v>575</x:v>
      </x:c>
      <x:c r="D13" t="n">
        <x:f>C13-B13</x:f>
        <x:v>59</x:v>
      </x:c>
      <x:c r="E13" t="n">
        <x:f>ABS(D13)</x:f>
        <x:v>59</x:v>
      </x:c>
      <x:c r="F13" s="22" t="n">
        <x:f>IFERROR(E13/C13,0)</x:f>
        <x:v>0.10260869565217391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91</x:v>
      </x:c>
      <x:c r="E2" t="n">
        <x:v>458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76</x:v>
      </x:c>
      <x:c r="E3" t="n">
        <x:v>274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72</x:v>
      </x:c>
      <x:c r="E4" t="n">
        <x:v>300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69</x:v>
      </x:c>
      <x:c r="E5" t="n">
        <x:v>266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88</x:v>
      </x:c>
      <x:c r="E6" t="n">
        <x:v>425</x:v>
      </x:c>
      <x:c r="F6" t="str">
        <x:v>High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91</x:v>
      </x:c>
      <x:c r="E7" t="n">
        <x:v>318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74</x:v>
      </x:c>
      <x:c r="E8" t="n">
        <x:v>376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84</x:v>
      </x:c>
      <x:c r="E9" t="n">
        <x:v>359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Festival-based</x:v>
      </x:c>
      <x:c r="E2" t="n">
        <x:v>1</x:v>
      </x:c>
      <x:c r="F2" t="n">
        <x:v>7228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Festival-based</x:v>
      </x:c>
      <x:c r="E3" t="n">
        <x:v>3</x:v>
      </x:c>
      <x:c r="F3" t="n">
        <x:v>33663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1</x:v>
      </x:c>
      <x:c r="F4" t="n">
        <x:v>8127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Monthly</x:v>
      </x:c>
      <x:c r="E5" t="n">
        <x:v>4</x:v>
      </x:c>
      <x:c r="F5" t="n">
        <x:v>36476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Monthly</x:v>
      </x:c>
      <x:c r="E6" t="n">
        <x:v>7</x:v>
      </x:c>
      <x:c r="F6" t="n">
        <x:v>57534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293</x:v>
      </x:c>
      <x:c r="F2" t="n">
        <x:v>88</x:v>
      </x:c>
      <x:c r="G2" t="str">
        <x:v>Flat file import</x:v>
      </x:c>
    </x:row>
    <x:row r="3">
      <x:c r="A3" t="str">
        <x:v>ERP Export</x:v>
      </x:c>
      <x:c r="B3" t="str">
        <x:v>Messy</x:v>
      </x:c>
      <x:c r="C3" t="str">
        <x:v>erpConnector</x:v>
      </x:c>
      <x:c r="D3" t="str">
        <x:v>legacy_erp_export.xlsx</x:v>
      </x:c>
      <x:c r="E3" t="n">
        <x:v>158</x:v>
      </x:c>
      <x:c r="F3" t="n">
        <x:v>55</x:v>
      </x:c>
      <x:c r="G3" t="str">
        <x:v>Column names differ from required schema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20</x:v>
      </x:c>
      <x:c r="F4" t="n">
        <x:v>85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5</x:v>
      </x:c>
      <x:c r="F5" t="n">
        <x:v>83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Office Chair Hatil Furniture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Office Chair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Furniture competitor pricing promotions Bangladesh Hatil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Office Chair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61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90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71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67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Sheet/column names intentionally vary to test mapping.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8" hidden="0" customWidth="1"/>
    <x:col min="5" max="5" width="16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</x:cols>
  <x:sheetData>
    <x:row r="1">
      <x:c r="A1" s="38" t="str">
        <x:v>TxnDate</x:v>
      </x:c>
      <x:c r="B1" s="38" t="str">
        <x:v>Item_Desc</x:v>
      </x:c>
      <x:c r="C1" s="38" t="str">
        <x:v>BRND</x:v>
      </x:c>
      <x:c r="D1" s="38" t="str">
        <x:v>Cat</x:v>
      </x:c>
      <x:c r="E1" s="38" t="str">
        <x:v>Loc</x:v>
      </x:c>
      <x:c r="F1" s="38" t="str">
        <x:v>Qty</x:v>
      </x:c>
      <x:c r="G1" s="38" t="str">
        <x:v>Price_Taka</x:v>
      </x:c>
      <x:c r="H1" s="38" t="str">
        <x:v>Whse_Stock</x:v>
      </x:c>
      <x:c r="I1" s="38" t="str">
        <x:v>LT_Days</x:v>
      </x:c>
    </x:row>
    <x:row r="2">
      <x:c r="A2" t="str">
        <x:v>2024/01/01</x:v>
      </x:c>
      <x:c r="B2" t="str">
        <x:v>Office Chair</x:v>
      </x:c>
      <x:c r="C2" t="str">
        <x:v>Hatil</x:v>
      </x:c>
      <x:c r="D2" t="str">
        <x:v>Furniture</x:v>
      </x:c>
      <x:c r="E2" t="str">
        <x:v>Chattogram</x:v>
      </x:c>
      <x:c r="F2" t="n">
        <x:v>449</x:v>
      </x:c>
      <x:c r="G2" t="n">
        <x:v>8500</x:v>
      </x:c>
      <x:c r="H2" t="n">
        <x:v>1434</x:v>
      </x:c>
      <x:c r="I2" t="n">
        <x:v>8</x:v>
      </x:c>
    </x:row>
    <x:row r="3">
      <x:c r="A3" t="str">
        <x:v>2024/02/01</x:v>
      </x:c>
      <x:c r="B3" t="str">
        <x:v>Office Chair</x:v>
      </x:c>
      <x:c r="C3" t="str">
        <x:v>Hatil</x:v>
      </x:c>
      <x:c r="D3" t="str">
        <x:v>Furniture</x:v>
      </x:c>
      <x:c r="E3" t="str">
        <x:v>Dhaka</x:v>
      </x:c>
      <x:c r="F3" t="n">
        <x:v>176</x:v>
      </x:c>
      <x:c r="G3" t="n">
        <x:v>8500</x:v>
      </x:c>
      <x:c r="H3" t="n">
        <x:v>508</x:v>
      </x:c>
      <x:c r="I3" t="n">
        <x:v>33</x:v>
      </x:c>
    </x:row>
    <x:row r="4">
      <x:c r="A4" t="str">
        <x:v>2024/03/01</x:v>
      </x:c>
      <x:c r="B4" t="str">
        <x:v>Office Chair</x:v>
      </x:c>
      <x:c r="C4" t="str">
        <x:v>Hatil</x:v>
      </x:c>
      <x:c r="D4" t="str">
        <x:v>Furniture</x:v>
      </x:c>
      <x:c r="E4" t="str">
        <x:v>Dhaka</x:v>
      </x:c>
      <x:c r="F4" t="n">
        <x:v>368</x:v>
      </x:c>
      <x:c r="G4" t="n">
        <x:v>8500</x:v>
      </x:c>
      <x:c r="H4" t="n">
        <x:v>412</x:v>
      </x:c>
      <x:c r="I4" t="n">
        <x:v>14</x:v>
      </x:c>
    </x:row>
    <x:row r="5">
      <x:c r="A5" t="str">
        <x:v>2024/04/01</x:v>
      </x:c>
      <x:c r="B5" t="str">
        <x:v>Office Chair</x:v>
      </x:c>
      <x:c r="C5" t="str">
        <x:v>Hatil</x:v>
      </x:c>
      <x:c r="D5" t="str">
        <x:v>Furniture</x:v>
      </x:c>
      <x:c r="E5" t="str">
        <x:v>Sylhet</x:v>
      </x:c>
      <x:c r="F5" t="n">
        <x:v>292</x:v>
      </x:c>
      <x:c r="G5" t="n">
        <x:v>8500</x:v>
      </x:c>
      <x:c r="H5" t="n">
        <x:v>1471</x:v>
      </x:c>
      <x:c r="I5" t="n">
        <x:v>10</x:v>
      </x:c>
    </x:row>
    <x:row r="6">
      <x:c r="A6" t="str">
        <x:v>2024/05/01</x:v>
      </x:c>
      <x:c r="B6" t="str">
        <x:v>Office Chair</x:v>
      </x:c>
      <x:c r="C6" t="str">
        <x:v>Hatil</x:v>
      </x:c>
      <x:c r="D6" t="str">
        <x:v>Furniture</x:v>
      </x:c>
      <x:c r="E6" t="str">
        <x:v>Rajshahi</x:v>
      </x:c>
      <x:c r="F6" t="n">
        <x:v>288</x:v>
      </x:c>
      <x:c r="G6" t="n">
        <x:v>8500</x:v>
      </x:c>
      <x:c r="H6" t="n">
        <x:v>624</x:v>
      </x:c>
      <x:c r="I6" t="n">
        <x:v>31</x:v>
      </x:c>
    </x:row>
    <x:row r="7">
      <x:c r="A7" t="str">
        <x:v>2024/06/01</x:v>
      </x:c>
      <x:c r="B7" t="str">
        <x:v>Office Chair</x:v>
      </x:c>
      <x:c r="C7" t="str">
        <x:v>Hatil</x:v>
      </x:c>
      <x:c r="D7" t="str">
        <x:v>Furniture</x:v>
      </x:c>
      <x:c r="E7" t="str">
        <x:v>Barishal</x:v>
      </x:c>
      <x:c r="F7" t="n">
        <x:v>135</x:v>
      </x:c>
      <x:c r="G7" t="n">
        <x:v>8500</x:v>
      </x:c>
      <x:c r="H7" t="n">
        <x:v>1340</x:v>
      </x:c>
      <x:c r="I7" t="n">
        <x:v>26</x:v>
      </x:c>
    </x:row>
    <x:row r="8">
      <x:c r="A8" t="str">
        <x:v>2024/07/01</x:v>
      </x:c>
      <x:c r="B8" t="str">
        <x:v>Office Chair</x:v>
      </x:c>
      <x:c r="C8" t="str">
        <x:v>Hatil</x:v>
      </x:c>
      <x:c r="D8" t="str">
        <x:v>Furniture</x:v>
      </x:c>
      <x:c r="E8" t="str">
        <x:v>Chattogram</x:v>
      </x:c>
      <x:c r="F8" t="n">
        <x:v>448</x:v>
      </x:c>
      <x:c r="G8" t="n">
        <x:v>8500</x:v>
      </x:c>
      <x:c r="H8" t="n">
        <x:v>435</x:v>
      </x:c>
      <x:c r="I8" t="n">
        <x:v>16</x:v>
      </x:c>
    </x:row>
    <x:row r="9">
      <x:c r="A9" t="str">
        <x:v>2024/08/01</x:v>
      </x:c>
      <x:c r="B9" t="str">
        <x:v>Office Chair</x:v>
      </x:c>
      <x:c r="C9" t="str">
        <x:v>Hatil</x:v>
      </x:c>
      <x:c r="D9" t="str">
        <x:v>Furniture</x:v>
      </x:c>
      <x:c r="E9" t="str">
        <x:v>Chattogram</x:v>
      </x:c>
      <x:c r="F9" t="n">
        <x:v>346</x:v>
      </x:c>
      <x:c r="G9" t="n">
        <x:v>8500</x:v>
      </x:c>
      <x:c r="H9" t="n">
        <x:v>152</x:v>
      </x:c>
      <x:c r="I9" t="n">
        <x:v>16</x:v>
      </x:c>
    </x:row>
    <x:row r="10">
      <x:c r="A10" t="str">
        <x:v>2024/09/01</x:v>
      </x:c>
      <x:c r="B10" t="str">
        <x:v>Office Chair</x:v>
      </x:c>
      <x:c r="C10" t="str">
        <x:v>Hatil</x:v>
      </x:c>
      <x:c r="D10" t="str">
        <x:v>Furniture</x:v>
      </x:c>
      <x:c r="E10" t="str">
        <x:v>Rangpur</x:v>
      </x:c>
      <x:c r="F10" t="n">
        <x:v>253</x:v>
      </x:c>
      <x:c r="G10" t="n">
        <x:v>8500</x:v>
      </x:c>
      <x:c r="H10" t="n">
        <x:v>506</x:v>
      </x:c>
      <x:c r="I10" t="n">
        <x:v>9</x:v>
      </x:c>
    </x:row>
    <x:row r="11">
      <x:c r="A11" t="str">
        <x:v>2024/10/01</x:v>
      </x:c>
      <x:c r="B11" t="str">
        <x:v>Office Chair</x:v>
      </x:c>
      <x:c r="C11" t="str">
        <x:v>Hatil</x:v>
      </x:c>
      <x:c r="D11" t="str">
        <x:v>Furniture</x:v>
      </x:c>
      <x:c r="E11" t="str">
        <x:v>Rajshahi</x:v>
      </x:c>
      <x:c r="F11" t="n">
        <x:v>102</x:v>
      </x:c>
      <x:c r="G11" t="n">
        <x:v>8500</x:v>
      </x:c>
      <x:c r="H11" t="n">
        <x:v>717</x:v>
      </x:c>
      <x:c r="I11" t="n">
        <x:v>34</x:v>
      </x:c>
    </x:row>
    <x:row r="12">
      <x:c r="A12" t="str">
        <x:v>2024/11/01</x:v>
      </x:c>
      <x:c r="B12" t="str">
        <x:v>Office Chair</x:v>
      </x:c>
      <x:c r="C12" t="str">
        <x:v>Hatil</x:v>
      </x:c>
      <x:c r="D12" t="str">
        <x:v>Furniture</x:v>
      </x:c>
      <x:c r="E12" t="str">
        <x:v>Chattogram</x:v>
      </x:c>
      <x:c r="F12" t="n">
        <x:v>457</x:v>
      </x:c>
      <x:c r="G12" t="n">
        <x:v>8500</x:v>
      </x:c>
      <x:c r="H12" t="n">
        <x:v>1259</x:v>
      </x:c>
      <x:c r="I12" t="n">
        <x:v>32</x:v>
      </x:c>
    </x:row>
    <x:row r="13">
      <x:c r="A13" t="str">
        <x:v>2024/12/01</x:v>
      </x:c>
      <x:c r="B13" t="str">
        <x:v>Office Chair</x:v>
      </x:c>
      <x:c r="C13" t="str">
        <x:v>Hatil</x:v>
      </x:c>
      <x:c r="D13" t="str">
        <x:v>Furniture</x:v>
      </x:c>
      <x:c r="E13" t="str">
        <x:v>Dhaka</x:v>
      </x:c>
      <x:c r="F13" t="n">
        <x:v>227</x:v>
      </x:c>
      <x:c r="G13" t="n">
        <x:v>8500</x:v>
      </x:c>
      <x:c r="H13" t="n">
        <x:v>1191</x:v>
      </x:c>
      <x:c r="I13" t="n">
        <x:v>20</x:v>
      </x:c>
    </x:row>
  </x:sheetData>
  <x:pageMargins left="0.7" right="0.7" top="0.75" bottom="0.75" header="0.3" footer="0.3"/>
</x:worksheet>
</file>