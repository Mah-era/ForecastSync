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78e450efa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9f0f0e7bf0894d7b"/>
    <x:sheet xmlns:r="http://schemas.openxmlformats.org/officeDocument/2006/relationships" name="Historical_Sales" sheetId="2" r:id="Rc0f7a6b5af354f6e"/>
    <x:sheet xmlns:r="http://schemas.openxmlformats.org/officeDocument/2006/relationships" name="Inventory" sheetId="3" r:id="R6c106f12139e45a7"/>
    <x:sheet xmlns:r="http://schemas.openxmlformats.org/officeDocument/2006/relationships" name="Promotions" sheetId="4" r:id="Rc4eb9a7954a947a7"/>
    <x:sheet xmlns:r="http://schemas.openxmlformats.org/officeDocument/2006/relationships" name="Competitors" sheetId="5" r:id="R38c191586ce7466f"/>
    <x:sheet xmlns:r="http://schemas.openxmlformats.org/officeDocument/2006/relationships" name="Economic" sheetId="6" r:id="Rfb21d6ec4a604f78"/>
    <x:sheet xmlns:r="http://schemas.openxmlformats.org/officeDocument/2006/relationships" name="Lead_Time" sheetId="7" r:id="Rdb36241da0dd417a"/>
    <x:sheet xmlns:r="http://schemas.openxmlformats.org/officeDocument/2006/relationships" name="Forecast_Actual" sheetId="8" r:id="R567adaa3c8b547e0"/>
    <x:sheet xmlns:r="http://schemas.openxmlformats.org/officeDocument/2006/relationships" name="Regional_Demand_Map" sheetId="9" r:id="R112b008f2b304d3b"/>
    <x:sheet xmlns:r="http://schemas.openxmlformats.org/officeDocument/2006/relationships" name="SCM_Flow_Map" sheetId="10" r:id="Rf1bb3dae21214dd9"/>
    <x:sheet xmlns:r="http://schemas.openxmlformats.org/officeDocument/2006/relationships" name="Customer_Patterns" sheetId="11" r:id="R904a3b64d77f4867"/>
    <x:sheet xmlns:r="http://schemas.openxmlformats.org/officeDocument/2006/relationships" name="Technology_Data" sheetId="12" r:id="R37b5f2e959ec44fa"/>
    <x:sheet xmlns:r="http://schemas.openxmlformats.org/officeDocument/2006/relationships" name="Web_Search_Seeds" sheetId="13" r:id="R4925d720ab6d428b"/>
    <x:sheet xmlns:r="http://schemas.openxmlformats.org/officeDocument/2006/relationships" name="Manual_Expert_Opinion" sheetId="14" r:id="Rc5284aeb198a4750"/>
    <x:sheet xmlns:r="http://schemas.openxmlformats.org/officeDocument/2006/relationships" name="Data_Issues" sheetId="15" r:id="R0308a4ef1920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787b7eb7344cd" /><Relationship Type="http://schemas.openxmlformats.org/officeDocument/2006/relationships/theme" Target="/xl/theme/theme1.xml" Id="R1ae8f6154a1a4d0e" /><Relationship Type="http://schemas.openxmlformats.org/officeDocument/2006/relationships/sharedStrings" Target="/xl/sharedStrings.xml" Id="R08fe7dba26384728" /><Relationship Type="http://schemas.openxmlformats.org/officeDocument/2006/relationships/worksheet" Target="/xl/worksheets/sheet1.xml" Id="R9f0f0e7bf0894d7b" /><Relationship Type="http://schemas.openxmlformats.org/officeDocument/2006/relationships/worksheet" Target="/xl/worksheets/sheet2.xml" Id="Rc0f7a6b5af354f6e" /><Relationship Type="http://schemas.openxmlformats.org/officeDocument/2006/relationships/worksheet" Target="/xl/worksheets/sheet3.xml" Id="R6c106f12139e45a7" /><Relationship Type="http://schemas.openxmlformats.org/officeDocument/2006/relationships/worksheet" Target="/xl/worksheets/sheet4.xml" Id="Rc4eb9a7954a947a7" /><Relationship Type="http://schemas.openxmlformats.org/officeDocument/2006/relationships/worksheet" Target="/xl/worksheets/sheet5.xml" Id="R38c191586ce7466f" /><Relationship Type="http://schemas.openxmlformats.org/officeDocument/2006/relationships/worksheet" Target="/xl/worksheets/sheet6.xml" Id="Rfb21d6ec4a604f78" /><Relationship Type="http://schemas.openxmlformats.org/officeDocument/2006/relationships/worksheet" Target="/xl/worksheets/sheet7.xml" Id="Rdb36241da0dd417a" /><Relationship Type="http://schemas.openxmlformats.org/officeDocument/2006/relationships/worksheet" Target="/xl/worksheets/sheet8.xml" Id="R567adaa3c8b547e0" /><Relationship Type="http://schemas.openxmlformats.org/officeDocument/2006/relationships/worksheet" Target="/xl/worksheets/sheet9.xml" Id="R112b008f2b304d3b" /><Relationship Type="http://schemas.openxmlformats.org/officeDocument/2006/relationships/worksheet" Target="/xl/worksheets/sheet10.xml" Id="Rf1bb3dae21214dd9" /><Relationship Type="http://schemas.openxmlformats.org/officeDocument/2006/relationships/worksheet" Target="/xl/worksheets/sheet11.xml" Id="R904a3b64d77f4867" /><Relationship Type="http://schemas.openxmlformats.org/officeDocument/2006/relationships/worksheet" Target="/xl/worksheets/sheet12.xml" Id="R37b5f2e959ec44fa" /><Relationship Type="http://schemas.openxmlformats.org/officeDocument/2006/relationships/worksheet" Target="/xl/worksheets/sheet13.xml" Id="R4925d720ab6d428b" /><Relationship Type="http://schemas.openxmlformats.org/officeDocument/2006/relationships/worksheet" Target="/xl/worksheets/sheet14.xml" Id="Rc5284aeb198a4750" /><Relationship Type="http://schemas.openxmlformats.org/officeDocument/2006/relationships/worksheet" Target="/xl/worksheets/sheet15.xml" Id="R0308a4ef19204f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DPF-18</x:v>
      </x:c>
    </x:row>
    <x:row r="3">
      <x:c r="A3" t="str">
        <x:v>Scenario Title</x:v>
      </x:c>
      <x:c r="B3" t="str">
        <x:v>Wrong Date Formats</x:v>
      </x:c>
    </x:row>
    <x:row r="4">
      <x:c r="A4" t="str">
        <x:v>Purpose</x:v>
      </x:c>
      <x:c r="B4" t="str">
        <x:v>Test date parsing and normalization.</x:v>
      </x:c>
    </x:row>
    <x:row r="5">
      <x:c r="A5" t="str">
        <x:v>Product Name</x:v>
      </x:c>
      <x:c r="B5" t="str">
        <x:v>Leather Shoe</x:v>
      </x:c>
    </x:row>
    <x:row r="6">
      <x:c r="A6" t="str">
        <x:v>Category</x:v>
      </x:c>
      <x:c r="B6" t="str">
        <x:v>Footwear</x:v>
      </x:c>
    </x:row>
    <x:row r="7">
      <x:c r="A7" t="str">
        <x:v>Brand</x:v>
      </x:c>
      <x:c r="B7" t="str">
        <x:v>Apex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Messy/Edge Case</x:v>
      </x:c>
    </x:row>
    <x:row r="10">
      <x:c r="A10" t="str">
        <x:v>Modules Covered</x:v>
      </x:c>
      <x:c r="B10" t="str">
        <x:v>Historical Sales, Technology &amp; Data Tools</x:v>
      </x:c>
    </x:row>
    <x:row r="11">
      <x:c r="A11" t="str">
        <x:v>Recommended Inputs To Tick</x:v>
      </x:c>
      <x:c r="B11" t="str">
        <x:v>Uploaded File Data, Historical Sales Data</x:v>
      </x:c>
    </x:row>
    <x:row r="12">
      <x:c r="A12" t="str">
        <x:v>Recommended Outputs To Tick</x:v>
      </x:c>
      <x:c r="B12" t="str">
        <x:v>Sales Trend Analysis, Data Quality Score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str">
        <x:v>01/01/2024</x:v>
      </x:c>
      <x:c r="B2" t="str">
        <x:v>Leather Shoe</x:v>
      </x:c>
      <x:c r="C2" t="str">
        <x:v>Footwear</x:v>
      </x:c>
      <x:c r="D2" t="str">
        <x:v>Apex</x:v>
      </x:c>
      <x:c r="E2" t="str">
        <x:v>Dhaka</x:v>
      </x:c>
      <x:c r="F2" t="str">
        <x:v>Retail</x:v>
      </x:c>
      <x:c r="G2" t="n">
        <x:v>821</x:v>
      </x:c>
      <x:c r="H2" t="n">
        <x:v>3200</x:v>
      </x:c>
      <x:c r="I2" t="n">
        <x:v>2627200</x:v>
      </x:c>
      <x:c r="J2" t="str"/>
    </x:row>
    <x:row r="3">
      <x:c r="A3" t="n">
        <x:v>45323</x:v>
      </x:c>
      <x:c r="B3" t="str">
        <x:v>Leather Shoe</x:v>
      </x:c>
      <x:c r="C3" t="str">
        <x:v>Footwear</x:v>
      </x:c>
      <x:c r="D3" t="str">
        <x:v>Apex</x:v>
      </x:c>
      <x:c r="E3" t="str">
        <x:v>Chattogram</x:v>
      </x:c>
      <x:c r="F3" t="str">
        <x:v>Online</x:v>
      </x:c>
      <x:c r="G3" t="n">
        <x:v>839</x:v>
      </x:c>
      <x:c r="H3" t="n">
        <x:v>3200</x:v>
      </x:c>
      <x:c r="I3" t="n">
        <x:v>2684800</x:v>
      </x:c>
      <x:c r="J3" t="str"/>
    </x:row>
    <x:row r="4">
      <x:c r="A4" t="n">
        <x:v>45352</x:v>
      </x:c>
      <x:c r="B4" t="str">
        <x:v>Leather Shoe</x:v>
      </x:c>
      <x:c r="C4" t="str">
        <x:v>Footwear</x:v>
      </x:c>
      <x:c r="D4" t="str">
        <x:v>Apex</x:v>
      </x:c>
      <x:c r="E4" t="str">
        <x:v>Sylhet</x:v>
      </x:c>
      <x:c r="F4" t="str">
        <x:v>Wholesale</x:v>
      </x:c>
      <x:c r="G4" t="n">
        <x:v>746</x:v>
      </x:c>
      <x:c r="H4" t="n">
        <x:v>3200</x:v>
      </x:c>
      <x:c r="I4" t="n">
        <x:v>2387200</x:v>
      </x:c>
      <x:c r="J4" t="str"/>
    </x:row>
    <x:row r="5">
      <x:c r="A5" t="str">
        <x:v>01/04/2024</x:v>
      </x:c>
      <x:c r="B5" t="str">
        <x:v>Leather Shoe</x:v>
      </x:c>
      <x:c r="C5" t="str">
        <x:v>Footwear</x:v>
      </x:c>
      <x:c r="D5" t="str">
        <x:v>Apex</x:v>
      </x:c>
      <x:c r="E5" t="str">
        <x:v>Rajshahi</x:v>
      </x:c>
      <x:c r="F5" t="str">
        <x:v>Modern Trade</x:v>
      </x:c>
      <x:c r="G5" t="n">
        <x:v>835</x:v>
      </x:c>
      <x:c r="H5" t="n">
        <x:v>3200</x:v>
      </x:c>
      <x:c r="I5" t="n">
        <x:v>2672000</x:v>
      </x:c>
      <x:c r="J5" t="str"/>
    </x:row>
    <x:row r="6">
      <x:c r="A6" t="n">
        <x:v>45413</x:v>
      </x:c>
      <x:c r="B6" t="str">
        <x:v>Leather Shoe</x:v>
      </x:c>
      <x:c r="C6" t="str">
        <x:v>Footwear</x:v>
      </x:c>
      <x:c r="D6" t="str">
        <x:v>Apex</x:v>
      </x:c>
      <x:c r="E6" t="str">
        <x:v>Khulna</x:v>
      </x:c>
      <x:c r="F6" t="str">
        <x:v>Retail</x:v>
      </x:c>
      <x:c r="G6" t="n">
        <x:v>814</x:v>
      </x:c>
      <x:c r="H6" t="n">
        <x:v>3200</x:v>
      </x:c>
      <x:c r="I6" t="n">
        <x:v>2604800</x:v>
      </x:c>
      <x:c r="J6" t="str"/>
    </x:row>
    <x:row r="7">
      <x:c r="A7" t="n">
        <x:v>45444</x:v>
      </x:c>
      <x:c r="B7" t="str">
        <x:v>Leather Shoe</x:v>
      </x:c>
      <x:c r="C7" t="str">
        <x:v>Footwear</x:v>
      </x:c>
      <x:c r="D7" t="str">
        <x:v>Apex</x:v>
      </x:c>
      <x:c r="E7" t="str">
        <x:v>Barishal</x:v>
      </x:c>
      <x:c r="F7" t="str">
        <x:v>Online</x:v>
      </x:c>
      <x:c r="G7" t="n">
        <x:v>773</x:v>
      </x:c>
      <x:c r="H7" t="n">
        <x:v>3200</x:v>
      </x:c>
      <x:c r="I7" t="n">
        <x:v>2473600</x:v>
      </x:c>
      <x:c r="J7" t="str"/>
    </x:row>
    <x:row r="8">
      <x:c r="A8" t="str">
        <x:v>01/07/2024</x:v>
      </x:c>
      <x:c r="B8" t="str">
        <x:v>Leather Shoe</x:v>
      </x:c>
      <x:c r="C8" t="str">
        <x:v>Footwear</x:v>
      </x:c>
      <x:c r="D8" t="str">
        <x:v>Apex</x:v>
      </x:c>
      <x:c r="E8" t="str">
        <x:v>Rangpur</x:v>
      </x:c>
      <x:c r="F8" t="str">
        <x:v>Wholesale</x:v>
      </x:c>
      <x:c r="G8" t="n">
        <x:v>840</x:v>
      </x:c>
      <x:c r="H8" t="n">
        <x:v>3200</x:v>
      </x:c>
      <x:c r="I8" t="n">
        <x:v>2688000</x:v>
      </x:c>
      <x:c r="J8" t="str"/>
    </x:row>
    <x:row r="9">
      <x:c r="A9" t="n">
        <x:v>45505</x:v>
      </x:c>
      <x:c r="B9" t="str">
        <x:v>Leather Shoe</x:v>
      </x:c>
      <x:c r="C9" t="str">
        <x:v>Footwear</x:v>
      </x:c>
      <x:c r="D9" t="str">
        <x:v>Apex</x:v>
      </x:c>
      <x:c r="E9" t="str">
        <x:v>Mymensingh</x:v>
      </x:c>
      <x:c r="F9" t="str">
        <x:v>Modern Trade</x:v>
      </x:c>
      <x:c r="G9" t="n">
        <x:v>846</x:v>
      </x:c>
      <x:c r="H9" t="n">
        <x:v>3200</x:v>
      </x:c>
      <x:c r="I9" t="n">
        <x:v>2707200</x:v>
      </x:c>
      <x:c r="J9" t="str"/>
    </x:row>
    <x:row r="10">
      <x:c r="A10" t="n">
        <x:v>45536</x:v>
      </x:c>
      <x:c r="B10" t="str">
        <x:v>Leather Shoe</x:v>
      </x:c>
      <x:c r="C10" t="str">
        <x:v>Footwear</x:v>
      </x:c>
      <x:c r="D10" t="str">
        <x:v>Apex</x:v>
      </x:c>
      <x:c r="E10" t="str">
        <x:v>Dhaka</x:v>
      </x:c>
      <x:c r="F10" t="str">
        <x:v>Retail</x:v>
      </x:c>
      <x:c r="G10" t="n">
        <x:v>925</x:v>
      </x:c>
      <x:c r="H10" t="n">
        <x:v>3200</x:v>
      </x:c>
      <x:c r="I10" t="n">
        <x:v>2960000</x:v>
      </x:c>
      <x:c r="J10" t="str"/>
    </x:row>
    <x:row r="11">
      <x:c r="A11" t="str">
        <x:v>01/10/2024</x:v>
      </x:c>
      <x:c r="B11" t="str">
        <x:v>Leather Shoe</x:v>
      </x:c>
      <x:c r="C11" t="str">
        <x:v>Footwear</x:v>
      </x:c>
      <x:c r="D11" t="str">
        <x:v>Apex</x:v>
      </x:c>
      <x:c r="E11" t="str">
        <x:v>Chattogram</x:v>
      </x:c>
      <x:c r="F11" t="str">
        <x:v>Online</x:v>
      </x:c>
      <x:c r="G11" t="n">
        <x:v>1009</x:v>
      </x:c>
      <x:c r="H11" t="n">
        <x:v>3200</x:v>
      </x:c>
      <x:c r="I11" t="n">
        <x:v>3228800</x:v>
      </x:c>
      <x:c r="J11" t="str"/>
    </x:row>
    <x:row r="12">
      <x:c r="A12" t="n">
        <x:v>45597</x:v>
      </x:c>
      <x:c r="B12" t="str">
        <x:v>Leather Shoe</x:v>
      </x:c>
      <x:c r="C12" t="str">
        <x:v>Footwear</x:v>
      </x:c>
      <x:c r="D12" t="str">
        <x:v>Apex</x:v>
      </x:c>
      <x:c r="E12" t="str">
        <x:v>Sylhet</x:v>
      </x:c>
      <x:c r="F12" t="str">
        <x:v>Wholesale</x:v>
      </x:c>
      <x:c r="G12" t="n">
        <x:v>991</x:v>
      </x:c>
      <x:c r="H12" t="n">
        <x:v>3200</x:v>
      </x:c>
      <x:c r="I12" t="n">
        <x:v>3171200</x:v>
      </x:c>
      <x:c r="J12" t="str"/>
    </x:row>
    <x:row r="13">
      <x:c r="A13" t="n">
        <x:v>45627</x:v>
      </x:c>
      <x:c r="B13" t="str">
        <x:v>Leather Shoe</x:v>
      </x:c>
      <x:c r="C13" t="str">
        <x:v>Footwear</x:v>
      </x:c>
      <x:c r="D13" t="str">
        <x:v>Apex</x:v>
      </x:c>
      <x:c r="E13" t="str">
        <x:v>Rajshahi</x:v>
      </x:c>
      <x:c r="F13" t="str">
        <x:v>Modern Trade</x:v>
      </x:c>
      <x:c r="G13" t="n">
        <x:v>970</x:v>
      </x:c>
      <x:c r="H13" t="n">
        <x:v>3200</x:v>
      </x:c>
      <x:c r="I13" t="n">
        <x:v>3104000</x:v>
      </x:c>
      <x:c r="J13" t="str"/>
    </x:row>
    <x:row r="14">
      <x:c r="A14" t="str">
        <x:v>01/01/2025</x:v>
      </x:c>
      <x:c r="B14" t="str">
        <x:v>Leather Shoe</x:v>
      </x:c>
      <x:c r="C14" t="str">
        <x:v>Footwear</x:v>
      </x:c>
      <x:c r="D14" t="str">
        <x:v>Apex</x:v>
      </x:c>
      <x:c r="E14" t="str">
        <x:v>Khulna</x:v>
      </x:c>
      <x:c r="F14" t="str">
        <x:v>Retail</x:v>
      </x:c>
      <x:c r="G14" t="n">
        <x:v>996</x:v>
      </x:c>
      <x:c r="H14" t="n">
        <x:v>3200</x:v>
      </x:c>
      <x:c r="I14" t="n">
        <x:v>3187200</x:v>
      </x:c>
      <x:c r="J14" t="str"/>
    </x:row>
    <x:row r="15">
      <x:c r="A15" t="n">
        <x:v>45689</x:v>
      </x:c>
      <x:c r="B15" t="str">
        <x:v>Leather Shoe</x:v>
      </x:c>
      <x:c r="C15" t="str">
        <x:v>Footwear</x:v>
      </x:c>
      <x:c r="D15" t="str">
        <x:v>Apex</x:v>
      </x:c>
      <x:c r="E15" t="str">
        <x:v>Barishal</x:v>
      </x:c>
      <x:c r="F15" t="str">
        <x:v>Online</x:v>
      </x:c>
      <x:c r="G15" t="n">
        <x:v>918</x:v>
      </x:c>
      <x:c r="H15" t="n">
        <x:v>3200</x:v>
      </x:c>
      <x:c r="I15" t="n">
        <x:v>2937600</x:v>
      </x:c>
      <x:c r="J15" t="str"/>
    </x:row>
    <x:row r="16">
      <x:c r="A16" t="n">
        <x:v>45717</x:v>
      </x:c>
      <x:c r="B16" t="str">
        <x:v>Leather Shoe</x:v>
      </x:c>
      <x:c r="C16" t="str">
        <x:v>Footwear</x:v>
      </x:c>
      <x:c r="D16" t="str">
        <x:v>Apex</x:v>
      </x:c>
      <x:c r="E16" t="str">
        <x:v>Rangpur</x:v>
      </x:c>
      <x:c r="F16" t="str">
        <x:v>Wholesale</x:v>
      </x:c>
      <x:c r="G16" t="n">
        <x:v>854</x:v>
      </x:c>
      <x:c r="H16" t="n">
        <x:v>3200</x:v>
      </x:c>
      <x:c r="I16" t="n">
        <x:v>2732800</x:v>
      </x:c>
      <x:c r="J16" t="str"/>
    </x:row>
    <x:row r="17">
      <x:c r="A17" t="str">
        <x:v>01/04/2025</x:v>
      </x:c>
      <x:c r="B17" t="str">
        <x:v>Leather Shoe</x:v>
      </x:c>
      <x:c r="C17" t="str">
        <x:v>Footwear</x:v>
      </x:c>
      <x:c r="D17" t="str">
        <x:v>Apex</x:v>
      </x:c>
      <x:c r="E17" t="str">
        <x:v>Mymensingh</x:v>
      </x:c>
      <x:c r="F17" t="str">
        <x:v>Modern Trade</x:v>
      </x:c>
      <x:c r="G17" t="n">
        <x:v>912</x:v>
      </x:c>
      <x:c r="H17" t="n">
        <x:v>3200</x:v>
      </x:c>
      <x:c r="I17" t="n">
        <x:v>2918400</x:v>
      </x:c>
      <x:c r="J17" t="str"/>
    </x:row>
    <x:row r="18">
      <x:c r="A18" t="n">
        <x:v>45778</x:v>
      </x:c>
      <x:c r="B18" t="str">
        <x:v>Leather Shoe</x:v>
      </x:c>
      <x:c r="C18" t="str">
        <x:v>Footwear</x:v>
      </x:c>
      <x:c r="D18" t="str">
        <x:v>Apex</x:v>
      </x:c>
      <x:c r="E18" t="str">
        <x:v>Dhaka</x:v>
      </x:c>
      <x:c r="F18" t="str">
        <x:v>Retail</x:v>
      </x:c>
      <x:c r="G18" t="n">
        <x:v>1038</x:v>
      </x:c>
      <x:c r="H18" t="n">
        <x:v>3200</x:v>
      </x:c>
      <x:c r="I18" t="n">
        <x:v>3321600</x:v>
      </x:c>
      <x:c r="J18" t="str"/>
    </x:row>
    <x:row r="19">
      <x:c r="A19" t="n">
        <x:v>45809</x:v>
      </x:c>
      <x:c r="B19" t="str">
        <x:v>Leather Shoe</x:v>
      </x:c>
      <x:c r="C19" t="str">
        <x:v>Footwear</x:v>
      </x:c>
      <x:c r="D19" t="str">
        <x:v>Apex</x:v>
      </x:c>
      <x:c r="E19" t="str">
        <x:v>Chattogram</x:v>
      </x:c>
      <x:c r="F19" t="str">
        <x:v>Online</x:v>
      </x:c>
      <x:c r="G19" t="n">
        <x:v>968</x:v>
      </x:c>
      <x:c r="H19" t="n">
        <x:v>3200</x:v>
      </x:c>
      <x:c r="I19" t="n">
        <x:v>3097600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APE-DPF-18-01</x:v>
      </x:c>
      <x:c r="B2" t="str">
        <x:v>Leather Shoe</x:v>
      </x:c>
      <x:c r="C2" t="str">
        <x:v>Footwear</x:v>
      </x:c>
      <x:c r="D2" t="str">
        <x:v>Apex</x:v>
      </x:c>
      <x:c r="E2" t="str">
        <x:v>Dhaka</x:v>
      </x:c>
      <x:c r="F2" t="str">
        <x:v>Dhaka DC</x:v>
      </x:c>
      <x:c r="G2" t="n">
        <x:v>3138</x:v>
      </x:c>
      <x:c r="H2" t="n">
        <x:v>638</x:v>
      </x:c>
      <x:c r="I2" t="n">
        <x:v>1213</x:v>
      </x:c>
      <x:c r="J2" t="n">
        <x:v>316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APE-DPF-18-02</x:v>
      </x:c>
      <x:c r="B3" t="str">
        <x:v>Leather Shoe</x:v>
      </x:c>
      <x:c r="C3" t="str">
        <x:v>Footwear</x:v>
      </x:c>
      <x:c r="D3" t="str">
        <x:v>Apex</x:v>
      </x:c>
      <x:c r="E3" t="str">
        <x:v>Chattogram</x:v>
      </x:c>
      <x:c r="F3" t="str">
        <x:v>Chattogram DC</x:v>
      </x:c>
      <x:c r="G3" t="n">
        <x:v>2082</x:v>
      </x:c>
      <x:c r="H3" t="n">
        <x:v>486</x:v>
      </x:c>
      <x:c r="I3" t="n">
        <x:v>1178</x:v>
      </x:c>
      <x:c r="J3" t="n">
        <x:v>560</x:v>
      </x:c>
      <x:c r="K3" t="n">
        <x:v>120</x:v>
      </x:c>
      <x:c r="L3" t="n">
        <x:v>45673</x:v>
      </x:c>
      <x:c r="M3" t="str">
        <x:v>OK</x:v>
      </x:c>
    </x:row>
    <x:row r="4">
      <x:c r="A4" t="str">
        <x:v>APE-DPF-18-03</x:v>
      </x:c>
      <x:c r="B4" t="str">
        <x:v>Leather Shoe</x:v>
      </x:c>
      <x:c r="C4" t="str">
        <x:v>Footwear</x:v>
      </x:c>
      <x:c r="D4" t="str">
        <x:v>Apex</x:v>
      </x:c>
      <x:c r="E4" t="str">
        <x:v>Sylhet</x:v>
      </x:c>
      <x:c r="F4" t="str">
        <x:v>Sylhet DC</x:v>
      </x:c>
      <x:c r="G4" t="n">
        <x:v>1885</x:v>
      </x:c>
      <x:c r="H4" t="n">
        <x:v>543</x:v>
      </x:c>
      <x:c r="I4" t="n">
        <x:v>1368</x:v>
      </x:c>
      <x:c r="J4" t="n">
        <x:v>509</x:v>
      </x:c>
      <x:c r="K4" t="n">
        <x:v>120</x:v>
      </x:c>
      <x:c r="L4" t="n">
        <x:v>45674</x:v>
      </x:c>
      <x:c r="M4" t="str">
        <x:v>OK</x:v>
      </x:c>
    </x:row>
    <x:row r="5">
      <x:c r="A5" t="str">
        <x:v>APE-DPF-18-04</x:v>
      </x:c>
      <x:c r="B5" t="str">
        <x:v>Leather Shoe</x:v>
      </x:c>
      <x:c r="C5" t="str">
        <x:v>Footwear</x:v>
      </x:c>
      <x:c r="D5" t="str">
        <x:v>Apex</x:v>
      </x:c>
      <x:c r="E5" t="str">
        <x:v>Rajshahi</x:v>
      </x:c>
      <x:c r="F5" t="str">
        <x:v>Rajshahi DC</x:v>
      </x:c>
      <x:c r="G5" t="n">
        <x:v>2537</x:v>
      </x:c>
      <x:c r="H5" t="n">
        <x:v>649</x:v>
      </x:c>
      <x:c r="I5" t="n">
        <x:v>1281</x:v>
      </x:c>
      <x:c r="J5" t="n">
        <x:v>323</x:v>
      </x:c>
      <x:c r="K5" t="n">
        <x:v>120</x:v>
      </x:c>
      <x:c r="L5" t="n">
        <x:v>45675</x:v>
      </x:c>
      <x:c r="M5" t="str">
        <x:v>OK</x:v>
      </x:c>
    </x:row>
    <x:row r="6">
      <x:c r="A6" t="str">
        <x:v>APE-DPF-18-05</x:v>
      </x:c>
      <x:c r="B6" t="str">
        <x:v>Leather Shoe</x:v>
      </x:c>
      <x:c r="C6" t="str">
        <x:v>Footwear</x:v>
      </x:c>
      <x:c r="D6" t="str">
        <x:v>Apex</x:v>
      </x:c>
      <x:c r="E6" t="str">
        <x:v>Khulna</x:v>
      </x:c>
      <x:c r="F6" t="str">
        <x:v>Khulna DC</x:v>
      </x:c>
      <x:c r="G6" t="n">
        <x:v>3173</x:v>
      </x:c>
      <x:c r="H6" t="n">
        <x:v>449</x:v>
      </x:c>
      <x:c r="I6" t="n">
        <x:v>1015</x:v>
      </x:c>
      <x:c r="J6" t="n">
        <x:v>219</x:v>
      </x:c>
      <x:c r="K6" t="n">
        <x:v>120</x:v>
      </x:c>
      <x:c r="L6" t="n">
        <x:v>45676</x:v>
      </x:c>
      <x:c r="M6" t="str">
        <x:v>Overstock Risk</x:v>
      </x:c>
    </x:row>
    <x:row r="7">
      <x:c r="A7" t="str">
        <x:v>APE-DPF-18-06</x:v>
      </x:c>
      <x:c r="B7" t="str">
        <x:v>Leather Shoe</x:v>
      </x:c>
      <x:c r="C7" t="str">
        <x:v>Footwear</x:v>
      </x:c>
      <x:c r="D7" t="str">
        <x:v>Apex</x:v>
      </x:c>
      <x:c r="E7" t="str">
        <x:v>Barishal</x:v>
      </x:c>
      <x:c r="F7" t="str">
        <x:v>Barishal DC</x:v>
      </x:c>
      <x:c r="G7" t="n">
        <x:v>1176</x:v>
      </x:c>
      <x:c r="H7" t="n">
        <x:v>534</x:v>
      </x:c>
      <x:c r="I7" t="n">
        <x:v>1378</x:v>
      </x:c>
      <x:c r="J7" t="n">
        <x:v>163</x:v>
      </x:c>
      <x:c r="K7" t="n">
        <x:v>120</x:v>
      </x:c>
      <x:c r="L7" t="n">
        <x:v>45677</x:v>
      </x:c>
      <x:c r="M7" t="str">
        <x:v>Reorder Needed</x:v>
      </x:c>
    </x:row>
    <x:row r="8">
      <x:c r="A8" t="str">
        <x:v>APE-DPF-18-07</x:v>
      </x:c>
      <x:c r="B8" t="str">
        <x:v>Leather Shoe</x:v>
      </x:c>
      <x:c r="C8" t="str">
        <x:v>Footwear</x:v>
      </x:c>
      <x:c r="D8" t="str">
        <x:v>Apex</x:v>
      </x:c>
      <x:c r="E8" t="str">
        <x:v>Rangpur</x:v>
      </x:c>
      <x:c r="F8" t="str">
        <x:v>Rangpur DC</x:v>
      </x:c>
      <x:c r="G8" t="n">
        <x:v>1091</x:v>
      </x:c>
      <x:c r="H8" t="n">
        <x:v>699</x:v>
      </x:c>
      <x:c r="I8" t="n">
        <x:v>1572</x:v>
      </x:c>
      <x:c r="J8" t="n">
        <x:v>261</x:v>
      </x:c>
      <x:c r="K8" t="n">
        <x:v>120</x:v>
      </x:c>
      <x:c r="L8" t="n">
        <x:v>45678</x:v>
      </x:c>
      <x:c r="M8" t="str">
        <x:v>Reorder Needed</x:v>
      </x:c>
    </x:row>
    <x:row r="9">
      <x:c r="A9" t="str">
        <x:v>APE-DPF-18-08</x:v>
      </x:c>
      <x:c r="B9" t="str">
        <x:v>Leather Shoe</x:v>
      </x:c>
      <x:c r="C9" t="str">
        <x:v>Footwear</x:v>
      </x:c>
      <x:c r="D9" t="str">
        <x:v>Apex</x:v>
      </x:c>
      <x:c r="E9" t="str">
        <x:v>Mymensingh</x:v>
      </x:c>
      <x:c r="F9" t="str">
        <x:v>Mymensingh DC</x:v>
      </x:c>
      <x:c r="G9" t="n">
        <x:v>3708</x:v>
      </x:c>
      <x:c r="H9" t="n">
        <x:v>686</x:v>
      </x:c>
      <x:c r="I9" t="n">
        <x:v>1471</x:v>
      </x:c>
      <x:c r="J9" t="n">
        <x:v>312</x:v>
      </x:c>
      <x:c r="K9" t="n">
        <x:v>120</x:v>
      </x:c>
      <x:c r="L9" t="n">
        <x:v>45679</x:v>
      </x:c>
      <x:c r="M9" t="str">
        <x:v>Overstock Risk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19.8</x:v>
      </x:c>
      <x:c r="G2" t="n">
        <x:v>20.1</x:v>
      </x:c>
      <x:c r="H2" t="n">
        <x:v>109078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19</x:v>
      </x:c>
      <x:c r="G3" t="n">
        <x:v>16.1</x:v>
      </x:c>
      <x:c r="H3" t="n">
        <x:v>157696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21.1</x:v>
      </x:c>
      <x:c r="G4" t="n">
        <x:v>20.8</x:v>
      </x:c>
      <x:c r="H4" t="n">
        <x:v>153302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15.4</x:v>
      </x:c>
      <x:c r="G5" t="n">
        <x:v>16.1</x:v>
      </x:c>
      <x:c r="H5" t="n">
        <x:v>96766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Footwear</x:v>
      </x:c>
      <x:c r="E2" t="n">
        <x:v>2734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Footwear</x:v>
      </x:c>
      <x:c r="E3" t="n">
        <x:v>3077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Footwear</x:v>
      </x:c>
      <x:c r="E4" t="n">
        <x:v>3257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Footwear</x:v>
      </x:c>
      <x:c r="E5" t="n">
        <x:v>3190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7.23</x:v>
      </x:c>
      <x:c r="C2" t="n">
        <x:v>99.01</x:v>
      </x:c>
      <x:c r="D2" t="n">
        <x:v>87.41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7.65</x:v>
      </x:c>
      <x:c r="C3" t="n">
        <x:v>100.95</x:v>
      </x:c>
      <x:c r="D3" t="n">
        <x:v>87.29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8.32</x:v>
      </x:c>
      <x:c r="C4" t="n">
        <x:v>100.56</x:v>
      </x:c>
      <x:c r="D4" t="n">
        <x:v>86.03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8.27</x:v>
      </x:c>
      <x:c r="C5" t="n">
        <x:v>100.31</x:v>
      </x:c>
      <x:c r="D5" t="n">
        <x:v>86.04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8.75</x:v>
      </x:c>
      <x:c r="C6" t="n">
        <x:v>102.15</x:v>
      </x:c>
      <x:c r="D6" t="n">
        <x:v>85.77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8.68</x:v>
      </x:c>
      <x:c r="C7" t="n">
        <x:v>100.73</x:v>
      </x:c>
      <x:c r="D7" t="n">
        <x:v>85.47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8.76</x:v>
      </x:c>
      <x:c r="C8" t="n">
        <x:v>101.74</x:v>
      </x:c>
      <x:c r="D8" t="n">
        <x:v>85.63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8.6</x:v>
      </x:c>
      <x:c r="C9" t="n">
        <x:v>101.63</x:v>
      </x:c>
      <x:c r="D9" t="n">
        <x:v>85.86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8.13</x:v>
      </x:c>
      <x:c r="C10" t="n">
        <x:v>102.18</x:v>
      </x:c>
      <x:c r="D10" t="n">
        <x:v>86.82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7.59</x:v>
      </x:c>
      <x:c r="C11" t="n">
        <x:v>102.46</x:v>
      </x:c>
      <x:c r="D11" t="n">
        <x:v>87.83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7.08</x:v>
      </x:c>
      <x:c r="C12" t="n">
        <x:v>102.09</x:v>
      </x:c>
      <x:c r="D12" t="n">
        <x:v>88.59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6.86</x:v>
      </x:c>
      <x:c r="C13" t="n">
        <x:v>102.83</x:v>
      </x:c>
      <x:c r="D13" t="n">
        <x:v>89.18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6.79</x:v>
      </x:c>
      <x:c r="C14" t="n">
        <x:v>103.73</x:v>
      </x:c>
      <x:c r="D14" t="n">
        <x:v>89.57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6.18</x:v>
      </x:c>
      <x:c r="C15" t="n">
        <x:v>104.29</x:v>
      </x:c>
      <x:c r="D15" t="n">
        <x:v>90.79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6.06</x:v>
      </x:c>
      <x:c r="C16" t="n">
        <x:v>104.54</x:v>
      </x:c>
      <x:c r="D16" t="n">
        <x:v>91.06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6.53</x:v>
      </x:c>
      <x:c r="C17" t="n">
        <x:v>104.33</x:v>
      </x:c>
      <x:c r="D17" t="n">
        <x:v>90.19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6.68</x:v>
      </x:c>
      <x:c r="C18" t="n">
        <x:v>104.26</x:v>
      </x:c>
      <x:c r="D18" t="n">
        <x:v>89.92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6.54</x:v>
      </x:c>
      <x:c r="C19" t="n">
        <x:v>104.87</x:v>
      </x:c>
      <x:c r="D19" t="n">
        <x:v>90.34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6</x:v>
      </x:c>
      <x:c r="E2" t="n">
        <x:v>11</x:v>
      </x:c>
      <x:c r="F2" t="n">
        <x:v>9</x:v>
      </x:c>
      <x:c r="G2" t="n">
        <x:v>5</x:v>
      </x:c>
      <x:c r="H2" t="n">
        <x:v>31</x:v>
      </x:c>
      <x:c r="I2" t="str">
        <x:v>Yes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3</x:v>
      </x:c>
      <x:c r="E3" t="n">
        <x:v>12</x:v>
      </x:c>
      <x:c r="F3" t="n">
        <x:v>6</x:v>
      </x:c>
      <x:c r="G3" t="n">
        <x:v>1</x:v>
      </x:c>
      <x:c r="H3" t="n">
        <x:v>22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5</x:v>
      </x:c>
      <x:c r="E4" t="n">
        <x:v>5</x:v>
      </x:c>
      <x:c r="F4" t="n">
        <x:v>4</x:v>
      </x:c>
      <x:c r="G4" t="n">
        <x:v>1</x:v>
      </x:c>
      <x:c r="H4" t="n">
        <x:v>15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5</x:v>
      </x:c>
      <x:c r="E5" t="n">
        <x:v>7</x:v>
      </x:c>
      <x:c r="F5" t="n">
        <x:v>4</x:v>
      </x:c>
      <x:c r="G5" t="n">
        <x:v>2</x:v>
      </x:c>
      <x:c r="H5" t="n">
        <x:v>18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849</x:v>
      </x:c>
      <x:c r="C2" t="n">
        <x:v>739</x:v>
      </x:c>
      <x:c r="D2" t="n">
        <x:f>C2-B2</x:f>
        <x:v>-110</x:v>
      </x:c>
      <x:c r="E2" t="n">
        <x:f>ABS(D2)</x:f>
        <x:v>110</x:v>
      </x:c>
      <x:c r="F2" s="22" t="n">
        <x:f>IFERROR(E2/C2,0)</x:f>
        <x:v>0.14884979702300405</x:v>
      </x:c>
      <x:c r="G2" t="str">
        <x:v>Formula columns should calculate error and accuracy</x:v>
      </x:c>
    </x:row>
    <x:row r="3">
      <x:c r="A3" t="n">
        <x:v>45505</x:v>
      </x:c>
      <x:c r="B3" t="n">
        <x:v>803</x:v>
      </x:c>
      <x:c r="C3" t="n">
        <x:v>976</x:v>
      </x:c>
      <x:c r="D3" t="n">
        <x:f>C3-B3</x:f>
        <x:v>173</x:v>
      </x:c>
      <x:c r="E3" t="n">
        <x:f>ABS(D3)</x:f>
        <x:v>173</x:v>
      </x:c>
      <x:c r="F3" s="22" t="n">
        <x:f>IFERROR(E3/C3,0)</x:f>
        <x:v>0.17725409836065573</x:v>
      </x:c>
      <x:c r="G3" t="str">
        <x:v>Formula columns should calculate error and accuracy</x:v>
      </x:c>
    </x:row>
    <x:row r="4">
      <x:c r="A4" t="n">
        <x:v>45536</x:v>
      </x:c>
      <x:c r="B4" t="n">
        <x:v>821</x:v>
      </x:c>
      <x:c r="C4" t="n">
        <x:v>1001</x:v>
      </x:c>
      <x:c r="D4" t="n">
        <x:f>C4-B4</x:f>
        <x:v>180</x:v>
      </x:c>
      <x:c r="E4" t="n">
        <x:f>ABS(D4)</x:f>
        <x:v>180</x:v>
      </x:c>
      <x:c r="F4" s="22" t="n">
        <x:f>IFERROR(E4/C4,0)</x:f>
        <x:v>0.1798201798201798</x:v>
      </x:c>
      <x:c r="G4" t="str">
        <x:v>Formula columns should calculate error and accuracy</x:v>
      </x:c>
    </x:row>
    <x:row r="5">
      <x:c r="A5" t="n">
        <x:v>45566</x:v>
      </x:c>
      <x:c r="B5" t="n">
        <x:v>870</x:v>
      </x:c>
      <x:c r="C5" t="n">
        <x:v>1004</x:v>
      </x:c>
      <x:c r="D5" t="n">
        <x:f>C5-B5</x:f>
        <x:v>134</x:v>
      </x:c>
      <x:c r="E5" t="n">
        <x:f>ABS(D5)</x:f>
        <x:v>134</x:v>
      </x:c>
      <x:c r="F5" s="22" t="n">
        <x:f>IFERROR(E5/C5,0)</x:f>
        <x:v>0.13346613545816732</x:v>
      </x:c>
      <x:c r="G5" t="str">
        <x:v>Formula columns should calculate error and accuracy</x:v>
      </x:c>
    </x:row>
    <x:row r="6">
      <x:c r="A6" t="n">
        <x:v>45597</x:v>
      </x:c>
      <x:c r="B6" t="n">
        <x:v>822</x:v>
      </x:c>
      <x:c r="C6" t="n">
        <x:v>974</x:v>
      </x:c>
      <x:c r="D6" t="n">
        <x:f>C6-B6</x:f>
        <x:v>152</x:v>
      </x:c>
      <x:c r="E6" t="n">
        <x:f>ABS(D6)</x:f>
        <x:v>152</x:v>
      </x:c>
      <x:c r="F6" s="22" t="n">
        <x:f>IFERROR(E6/C6,0)</x:f>
        <x:v>0.15605749486652978</x:v>
      </x:c>
      <x:c r="G6" t="str">
        <x:v>Formula columns should calculate error and accuracy</x:v>
      </x:c>
    </x:row>
    <x:row r="7">
      <x:c r="A7" t="n">
        <x:v>45627</x:v>
      </x:c>
      <x:c r="B7" t="n">
        <x:v>953</x:v>
      </x:c>
      <x:c r="C7" t="n">
        <x:v>807</x:v>
      </x:c>
      <x:c r="D7" t="n">
        <x:f>C7-B7</x:f>
        <x:v>-146</x:v>
      </x:c>
      <x:c r="E7" t="n">
        <x:f>ABS(D7)</x:f>
        <x:v>146</x:v>
      </x:c>
      <x:c r="F7" s="22" t="n">
        <x:f>IFERROR(E7/C7,0)</x:f>
        <x:v>0.1809169764560099</x:v>
      </x:c>
      <x:c r="G7" t="str">
        <x:v>Formula columns should calculate error and accuracy</x:v>
      </x:c>
    </x:row>
    <x:row r="8">
      <x:c r="A8" t="n">
        <x:v>45658</x:v>
      </x:c>
      <x:c r="B8" t="n">
        <x:v>876</x:v>
      </x:c>
      <x:c r="C8" t="n">
        <x:v>858</x:v>
      </x:c>
      <x:c r="D8" t="n">
        <x:f>C8-B8</x:f>
        <x:v>-18</x:v>
      </x:c>
      <x:c r="E8" t="n">
        <x:f>ABS(D8)</x:f>
        <x:v>18</x:v>
      </x:c>
      <x:c r="F8" s="22" t="n">
        <x:f>IFERROR(E8/C8,0)</x:f>
        <x:v>0.02097902097902098</x:v>
      </x:c>
      <x:c r="G8" t="str">
        <x:v>Formula columns should calculate error and accuracy</x:v>
      </x:c>
    </x:row>
    <x:row r="9">
      <x:c r="A9" t="n">
        <x:v>45689</x:v>
      </x:c>
      <x:c r="B9" t="n">
        <x:v>880</x:v>
      </x:c>
      <x:c r="C9" t="n">
        <x:v>819</x:v>
      </x:c>
      <x:c r="D9" t="n">
        <x:f>C9-B9</x:f>
        <x:v>-61</x:v>
      </x:c>
      <x:c r="E9" t="n">
        <x:f>ABS(D9)</x:f>
        <x:v>61</x:v>
      </x:c>
      <x:c r="F9" s="22" t="n">
        <x:f>IFERROR(E9/C9,0)</x:f>
        <x:v>0.07448107448107448</x:v>
      </x:c>
      <x:c r="G9" t="str">
        <x:v>Formula columns should calculate error and accuracy</x:v>
      </x:c>
    </x:row>
    <x:row r="10">
      <x:c r="A10" t="n">
        <x:v>45717</x:v>
      </x:c>
      <x:c r="B10" t="n">
        <x:v>920</x:v>
      </x:c>
      <x:c r="C10" t="n">
        <x:v>1076</x:v>
      </x:c>
      <x:c r="D10" t="n">
        <x:f>C10-B10</x:f>
        <x:v>156</x:v>
      </x:c>
      <x:c r="E10" t="n">
        <x:f>ABS(D10)</x:f>
        <x:v>156</x:v>
      </x:c>
      <x:c r="F10" s="22" t="n">
        <x:f>IFERROR(E10/C10,0)</x:f>
        <x:v>0.1449814126394052</x:v>
      </x:c>
      <x:c r="G10" t="str">
        <x:v>Formula columns should calculate error and accuracy</x:v>
      </x:c>
    </x:row>
    <x:row r="11">
      <x:c r="A11" t="n">
        <x:v>45748</x:v>
      </x:c>
      <x:c r="B11" t="n">
        <x:v>998</x:v>
      </x:c>
      <x:c r="C11" t="n">
        <x:v>1067</x:v>
      </x:c>
      <x:c r="D11" t="n">
        <x:f>C11-B11</x:f>
        <x:v>69</x:v>
      </x:c>
      <x:c r="E11" t="n">
        <x:f>ABS(D11)</x:f>
        <x:v>69</x:v>
      </x:c>
      <x:c r="F11" s="22" t="n">
        <x:f>IFERROR(E11/C11,0)</x:f>
        <x:v>0.06466729147141519</x:v>
      </x:c>
      <x:c r="G11" t="str">
        <x:v>Formula columns should calculate error and accuracy</x:v>
      </x:c>
    </x:row>
    <x:row r="12">
      <x:c r="A12" t="n">
        <x:v>45778</x:v>
      </x:c>
      <x:c r="B12" t="n">
        <x:v>964</x:v>
      </x:c>
      <x:c r="C12" t="n">
        <x:v>952</x:v>
      </x:c>
      <x:c r="D12" t="n">
        <x:f>C12-B12</x:f>
        <x:v>-12</x:v>
      </x:c>
      <x:c r="E12" t="n">
        <x:f>ABS(D12)</x:f>
        <x:v>12</x:v>
      </x:c>
      <x:c r="F12" s="22" t="n">
        <x:f>IFERROR(E12/C12,0)</x:f>
        <x:v>0.012605042016806723</x:v>
      </x:c>
      <x:c r="G12" t="str">
        <x:v>Formula columns should calculate error and accuracy</x:v>
      </x:c>
    </x:row>
    <x:row r="13">
      <x:c r="A13" t="n">
        <x:v>45809</x:v>
      </x:c>
      <x:c r="B13" t="n">
        <x:v>959</x:v>
      </x:c>
      <x:c r="C13" t="n">
        <x:v>843</x:v>
      </x:c>
      <x:c r="D13" t="n">
        <x:f>C13-B13</x:f>
        <x:v>-116</x:v>
      </x:c>
      <x:c r="E13" t="n">
        <x:f>ABS(D13)</x:f>
        <x:v>116</x:v>
      </x:c>
      <x:c r="F13" s="22" t="n">
        <x:f>IFERROR(E13/C13,0)</x:f>
        <x:v>0.1376037959667853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90</x:v>
      </x:c>
      <x:c r="E2" t="n">
        <x:v>750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51</x:v>
      </x:c>
      <x:c r="E3" t="n">
        <x:v>495</x:v>
      </x:c>
      <x:c r="F3" t="str">
        <x:v>Low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81</x:v>
      </x:c>
      <x:c r="E4" t="n">
        <x:v>739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95</x:v>
      </x:c>
      <x:c r="E5" t="n">
        <x:v>679</x:v>
      </x:c>
      <x:c r="F5" t="str">
        <x:v>High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79</x:v>
      </x:c>
      <x:c r="E6" t="n">
        <x:v>752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71</x:v>
      </x:c>
      <x:c r="E7" t="n">
        <x:v>501</x:v>
      </x:c>
      <x:c r="F7" t="str">
        <x:v>Medium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86</x:v>
      </x:c>
      <x:c r="E8" t="n">
        <x:v>683</x:v>
      </x:c>
      <x:c r="F8" t="str">
        <x:v>High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83</x:v>
      </x:c>
      <x:c r="E9" t="n">
        <x:v>655</x:v>
      </x:c>
      <x:c r="F9" t="str">
        <x:v>High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Bi-weekly</x:v>
      </x:c>
      <x:c r="E2" t="n">
        <x:v>5</x:v>
      </x:c>
      <x:c r="F2" t="n">
        <x:v>16669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Festival-based</x:v>
      </x:c>
      <x:c r="E3" t="n">
        <x:v>1</x:v>
      </x:c>
      <x:c r="F3" t="n">
        <x:v>3320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Monthly</x:v>
      </x:c>
      <x:c r="E4" t="n">
        <x:v>4</x:v>
      </x:c>
      <x:c r="F4" t="n">
        <x:v>10619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Festival-based</x:v>
      </x:c>
      <x:c r="E5" t="n">
        <x:v>5</x:v>
      </x:c>
      <x:c r="F5" t="n">
        <x:v>21412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Weekly</x:v>
      </x:c>
      <x:c r="E6" t="n">
        <x:v>6</x:v>
      </x:c>
      <x:c r="F6" t="n">
        <x:v>24776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127</x:v>
      </x:c>
      <x:c r="F2" t="n">
        <x:v>84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91</x:v>
      </x:c>
      <x:c r="F3" t="n">
        <x:v>96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72</x:v>
      </x:c>
      <x:c r="F4" t="n">
        <x:v>92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8</x:v>
      </x:c>
      <x:c r="F5" t="n">
        <x:v>87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Leather Shoe Apex Footwear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Leather Shoe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Footwear competitor pricing promotions Bangladesh Apex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Leather Shoe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67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64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69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83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Some dates are stored as text in DD/MM/YYYY format.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