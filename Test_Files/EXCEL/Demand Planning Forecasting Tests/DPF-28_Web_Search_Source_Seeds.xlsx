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c4caf1a9d42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08d7a481bccb4385"/>
    <x:sheet xmlns:r="http://schemas.openxmlformats.org/officeDocument/2006/relationships" name="Historical_Sales" sheetId="2" r:id="Rd5e4e3de50954e4d"/>
    <x:sheet xmlns:r="http://schemas.openxmlformats.org/officeDocument/2006/relationships" name="Inventory" sheetId="3" r:id="R17fdb5b65c2149cb"/>
    <x:sheet xmlns:r="http://schemas.openxmlformats.org/officeDocument/2006/relationships" name="Promotions" sheetId="4" r:id="R2e13bf355c614ac1"/>
    <x:sheet xmlns:r="http://schemas.openxmlformats.org/officeDocument/2006/relationships" name="Competitors" sheetId="5" r:id="R3f724fea7f014a84"/>
    <x:sheet xmlns:r="http://schemas.openxmlformats.org/officeDocument/2006/relationships" name="Economic" sheetId="6" r:id="R9a0b331930074ee7"/>
    <x:sheet xmlns:r="http://schemas.openxmlformats.org/officeDocument/2006/relationships" name="Lead_Time" sheetId="7" r:id="R6d0cac6e8353440c"/>
    <x:sheet xmlns:r="http://schemas.openxmlformats.org/officeDocument/2006/relationships" name="Forecast_Actual" sheetId="8" r:id="R4dda289b01f14416"/>
    <x:sheet xmlns:r="http://schemas.openxmlformats.org/officeDocument/2006/relationships" name="Regional_Demand_Map" sheetId="9" r:id="R84a1055823a741b7"/>
    <x:sheet xmlns:r="http://schemas.openxmlformats.org/officeDocument/2006/relationships" name="SCM_Flow_Map" sheetId="10" r:id="R84d790bbbaad4781"/>
    <x:sheet xmlns:r="http://schemas.openxmlformats.org/officeDocument/2006/relationships" name="Customer_Patterns" sheetId="11" r:id="R011c4f890e96480b"/>
    <x:sheet xmlns:r="http://schemas.openxmlformats.org/officeDocument/2006/relationships" name="Technology_Data" sheetId="12" r:id="Rbf231019603e4898"/>
    <x:sheet xmlns:r="http://schemas.openxmlformats.org/officeDocument/2006/relationships" name="Web_Search_Seeds" sheetId="13" r:id="R33ad581d05c642ab"/>
    <x:sheet xmlns:r="http://schemas.openxmlformats.org/officeDocument/2006/relationships" name="Manual_Expert_Opinion" sheetId="14" r:id="R54b5ff6518f446ca"/>
    <x:sheet xmlns:r="http://schemas.openxmlformats.org/officeDocument/2006/relationships" name="Data_Issues" sheetId="15" r:id="R31723dd7771a4c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5503de7a8e4e4b" /><Relationship Type="http://schemas.openxmlformats.org/officeDocument/2006/relationships/theme" Target="/xl/theme/theme1.xml" Id="Rb0227f45ad27417d" /><Relationship Type="http://schemas.openxmlformats.org/officeDocument/2006/relationships/sharedStrings" Target="/xl/sharedStrings.xml" Id="R20fd74d705a24299" /><Relationship Type="http://schemas.openxmlformats.org/officeDocument/2006/relationships/worksheet" Target="/xl/worksheets/sheet1.xml" Id="R08d7a481bccb4385" /><Relationship Type="http://schemas.openxmlformats.org/officeDocument/2006/relationships/worksheet" Target="/xl/worksheets/sheet2.xml" Id="Rd5e4e3de50954e4d" /><Relationship Type="http://schemas.openxmlformats.org/officeDocument/2006/relationships/worksheet" Target="/xl/worksheets/sheet3.xml" Id="R17fdb5b65c2149cb" /><Relationship Type="http://schemas.openxmlformats.org/officeDocument/2006/relationships/worksheet" Target="/xl/worksheets/sheet4.xml" Id="R2e13bf355c614ac1" /><Relationship Type="http://schemas.openxmlformats.org/officeDocument/2006/relationships/worksheet" Target="/xl/worksheets/sheet5.xml" Id="R3f724fea7f014a84" /><Relationship Type="http://schemas.openxmlformats.org/officeDocument/2006/relationships/worksheet" Target="/xl/worksheets/sheet6.xml" Id="R9a0b331930074ee7" /><Relationship Type="http://schemas.openxmlformats.org/officeDocument/2006/relationships/worksheet" Target="/xl/worksheets/sheet7.xml" Id="R6d0cac6e8353440c" /><Relationship Type="http://schemas.openxmlformats.org/officeDocument/2006/relationships/worksheet" Target="/xl/worksheets/sheet8.xml" Id="R4dda289b01f14416" /><Relationship Type="http://schemas.openxmlformats.org/officeDocument/2006/relationships/worksheet" Target="/xl/worksheets/sheet9.xml" Id="R84a1055823a741b7" /><Relationship Type="http://schemas.openxmlformats.org/officeDocument/2006/relationships/worksheet" Target="/xl/worksheets/sheet10.xml" Id="R84d790bbbaad4781" /><Relationship Type="http://schemas.openxmlformats.org/officeDocument/2006/relationships/worksheet" Target="/xl/worksheets/sheet11.xml" Id="R011c4f890e96480b" /><Relationship Type="http://schemas.openxmlformats.org/officeDocument/2006/relationships/worksheet" Target="/xl/worksheets/sheet12.xml" Id="Rbf231019603e4898" /><Relationship Type="http://schemas.openxmlformats.org/officeDocument/2006/relationships/worksheet" Target="/xl/worksheets/sheet13.xml" Id="R33ad581d05c642ab" /><Relationship Type="http://schemas.openxmlformats.org/officeDocument/2006/relationships/worksheet" Target="/xl/worksheets/sheet14.xml" Id="R54b5ff6518f446ca" /><Relationship Type="http://schemas.openxmlformats.org/officeDocument/2006/relationships/worksheet" Target="/xl/worksheets/sheet15.xml" Id="R31723dd7771a4c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DPF-28</x:v>
      </x:c>
    </x:row>
    <x:row r="3">
      <x:c r="A3" t="str">
        <x:v>Scenario Title</x:v>
      </x:c>
      <x:c r="B3" t="str">
        <x:v>Web Search Source Seeds</x:v>
      </x:c>
    </x:row>
    <x:row r="4">
      <x:c r="A4" t="str">
        <x:v>Purpose</x:v>
      </x:c>
      <x:c r="B4" t="str">
        <x:v>Test online research queries and source link capture.</x:v>
      </x:c>
    </x:row>
    <x:row r="5">
      <x:c r="A5" t="str">
        <x:v>Product Name</x:v>
      </x:c>
      <x:c r="B5" t="str">
        <x:v>Dry Shampoo Spray</x:v>
      </x:c>
    </x:row>
    <x:row r="6">
      <x:c r="A6" t="str">
        <x:v>Category</x:v>
      </x:c>
      <x:c r="B6" t="str">
        <x:v>Hair Care</x:v>
      </x:c>
    </x:row>
    <x:row r="7">
      <x:c r="A7" t="str">
        <x:v>Brand</x:v>
      </x:c>
      <x:c r="B7" t="str">
        <x:v>Marico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Online Web Search, Market Trends, Competitor Activities</x:v>
      </x:c>
    </x:row>
    <x:row r="11">
      <x:c r="A11" t="str">
        <x:v>Recommended Inputs To Tick</x:v>
      </x:c>
      <x:c r="B11" t="str">
        <x:v>Online Web Search Data, Market Trends, Competitor Activities, Seasonality</x:v>
      </x:c>
    </x:row>
    <x:row r="12">
      <x:c r="A12" t="str">
        <x:v>Recommended Outputs To Tick</x:v>
      </x:c>
      <x:c r="B12" t="str">
        <x:v>Online Search Summary, Market Trend Analysis, Competitor Activity Analysis, PDF Report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Dry Shampoo Spray</x:v>
      </x:c>
      <x:c r="C2" t="str">
        <x:v>Hair Care</x:v>
      </x:c>
      <x:c r="D2" t="str">
        <x:v>Marico</x:v>
      </x:c>
      <x:c r="E2" t="str">
        <x:v>Dhaka</x:v>
      </x:c>
      <x:c r="F2" t="str">
        <x:v>Retail</x:v>
      </x:c>
      <x:c r="G2" t="n">
        <x:v>853</x:v>
      </x:c>
      <x:c r="H2" t="n">
        <x:v>480</x:v>
      </x:c>
      <x:c r="I2" t="n">
        <x:v>409440</x:v>
      </x:c>
      <x:c r="J2" t="str"/>
    </x:row>
    <x:row r="3">
      <x:c r="A3" t="n">
        <x:v>45323</x:v>
      </x:c>
      <x:c r="B3" t="str">
        <x:v>Dry Shampoo Spray</x:v>
      </x:c>
      <x:c r="C3" t="str">
        <x:v>Hair Care</x:v>
      </x:c>
      <x:c r="D3" t="str">
        <x:v>Marico</x:v>
      </x:c>
      <x:c r="E3" t="str">
        <x:v>Chattogram</x:v>
      </x:c>
      <x:c r="F3" t="str">
        <x:v>Online</x:v>
      </x:c>
      <x:c r="G3" t="n">
        <x:v>847</x:v>
      </x:c>
      <x:c r="H3" t="n">
        <x:v>480</x:v>
      </x:c>
      <x:c r="I3" t="n">
        <x:v>406560</x:v>
      </x:c>
      <x:c r="J3" t="str"/>
    </x:row>
    <x:row r="4">
      <x:c r="A4" t="n">
        <x:v>45352</x:v>
      </x:c>
      <x:c r="B4" t="str">
        <x:v>Dry Shampoo Spray</x:v>
      </x:c>
      <x:c r="C4" t="str">
        <x:v>Hair Care</x:v>
      </x:c>
      <x:c r="D4" t="str">
        <x:v>Marico</x:v>
      </x:c>
      <x:c r="E4" t="str">
        <x:v>Sylhet</x:v>
      </x:c>
      <x:c r="F4" t="str">
        <x:v>Wholesale</x:v>
      </x:c>
      <x:c r="G4" t="n">
        <x:v>1066</x:v>
      </x:c>
      <x:c r="H4" t="n">
        <x:v>480</x:v>
      </x:c>
      <x:c r="I4" t="n">
        <x:v>511680</x:v>
      </x:c>
      <x:c r="J4" t="str">
        <x:v>Ramadan/Eid demand surge</x:v>
      </x:c>
    </x:row>
    <x:row r="5">
      <x:c r="A5" t="n">
        <x:v>45383</x:v>
      </x:c>
      <x:c r="B5" t="str">
        <x:v>Dry Shampoo Spray</x:v>
      </x:c>
      <x:c r="C5" t="str">
        <x:v>Hair Care</x:v>
      </x:c>
      <x:c r="D5" t="str">
        <x:v>Marico</x:v>
      </x:c>
      <x:c r="E5" t="str">
        <x:v>Rajshahi</x:v>
      </x:c>
      <x:c r="F5" t="str">
        <x:v>Modern Trade</x:v>
      </x:c>
      <x:c r="G5" t="n">
        <x:v>1250</x:v>
      </x:c>
      <x:c r="H5" t="n">
        <x:v>480</x:v>
      </x:c>
      <x:c r="I5" t="n">
        <x:v>600000</x:v>
      </x:c>
      <x:c r="J5" t="str">
        <x:v>Ramadan/Eid demand surge</x:v>
      </x:c>
    </x:row>
    <x:row r="6">
      <x:c r="A6" t="n">
        <x:v>45413</x:v>
      </x:c>
      <x:c r="B6" t="str">
        <x:v>Dry Shampoo Spray</x:v>
      </x:c>
      <x:c r="C6" t="str">
        <x:v>Hair Care</x:v>
      </x:c>
      <x:c r="D6" t="str">
        <x:v>Marico</x:v>
      </x:c>
      <x:c r="E6" t="str">
        <x:v>Khulna</x:v>
      </x:c>
      <x:c r="F6" t="str">
        <x:v>Retail</x:v>
      </x:c>
      <x:c r="G6" t="n">
        <x:v>814</x:v>
      </x:c>
      <x:c r="H6" t="n">
        <x:v>480</x:v>
      </x:c>
      <x:c r="I6" t="n">
        <x:v>390720</x:v>
      </x:c>
      <x:c r="J6" t="str"/>
    </x:row>
    <x:row r="7">
      <x:c r="A7" t="n">
        <x:v>45444</x:v>
      </x:c>
      <x:c r="B7" t="str">
        <x:v>Dry Shampoo Spray</x:v>
      </x:c>
      <x:c r="C7" t="str">
        <x:v>Hair Care</x:v>
      </x:c>
      <x:c r="D7" t="str">
        <x:v>Marico</x:v>
      </x:c>
      <x:c r="E7" t="str">
        <x:v>Barishal</x:v>
      </x:c>
      <x:c r="F7" t="str">
        <x:v>Online</x:v>
      </x:c>
      <x:c r="G7" t="n">
        <x:v>825</x:v>
      </x:c>
      <x:c r="H7" t="n">
        <x:v>480</x:v>
      </x:c>
      <x:c r="I7" t="n">
        <x:v>396000</x:v>
      </x:c>
      <x:c r="J7" t="str"/>
    </x:row>
    <x:row r="8">
      <x:c r="A8" t="n">
        <x:v>45474</x:v>
      </x:c>
      <x:c r="B8" t="str">
        <x:v>Dry Shampoo Spray</x:v>
      </x:c>
      <x:c r="C8" t="str">
        <x:v>Hair Care</x:v>
      </x:c>
      <x:c r="D8" t="str">
        <x:v>Marico</x:v>
      </x:c>
      <x:c r="E8" t="str">
        <x:v>Rangpur</x:v>
      </x:c>
      <x:c r="F8" t="str">
        <x:v>Wholesale</x:v>
      </x:c>
      <x:c r="G8" t="n">
        <x:v>884</x:v>
      </x:c>
      <x:c r="H8" t="n">
        <x:v>480</x:v>
      </x:c>
      <x:c r="I8" t="n">
        <x:v>424320</x:v>
      </x:c>
      <x:c r="J8" t="str"/>
    </x:row>
    <x:row r="9">
      <x:c r="A9" t="n">
        <x:v>45505</x:v>
      </x:c>
      <x:c r="B9" t="str">
        <x:v>Dry Shampoo Spray</x:v>
      </x:c>
      <x:c r="C9" t="str">
        <x:v>Hair Care</x:v>
      </x:c>
      <x:c r="D9" t="str">
        <x:v>Marico</x:v>
      </x:c>
      <x:c r="E9" t="str">
        <x:v>Mymensingh</x:v>
      </x:c>
      <x:c r="F9" t="str">
        <x:v>Modern Trade</x:v>
      </x:c>
      <x:c r="G9" t="n">
        <x:v>860</x:v>
      </x:c>
      <x:c r="H9" t="n">
        <x:v>480</x:v>
      </x:c>
      <x:c r="I9" t="n">
        <x:v>412800</x:v>
      </x:c>
      <x:c r="J9" t="str"/>
    </x:row>
    <x:row r="10">
      <x:c r="A10" t="n">
        <x:v>45536</x:v>
      </x:c>
      <x:c r="B10" t="str">
        <x:v>Dry Shampoo Spray</x:v>
      </x:c>
      <x:c r="C10" t="str">
        <x:v>Hair Care</x:v>
      </x:c>
      <x:c r="D10" t="str">
        <x:v>Marico</x:v>
      </x:c>
      <x:c r="E10" t="str">
        <x:v>Dhaka</x:v>
      </x:c>
      <x:c r="F10" t="str">
        <x:v>Retail</x:v>
      </x:c>
      <x:c r="G10" t="n">
        <x:v>843</x:v>
      </x:c>
      <x:c r="H10" t="n">
        <x:v>480</x:v>
      </x:c>
      <x:c r="I10" t="n">
        <x:v>404640</x:v>
      </x:c>
      <x:c r="J10" t="str"/>
    </x:row>
    <x:row r="11">
      <x:c r="A11" t="n">
        <x:v>45566</x:v>
      </x:c>
      <x:c r="B11" t="str">
        <x:v>Dry Shampoo Spray</x:v>
      </x:c>
      <x:c r="C11" t="str">
        <x:v>Hair Care</x:v>
      </x:c>
      <x:c r="D11" t="str">
        <x:v>Marico</x:v>
      </x:c>
      <x:c r="E11" t="str">
        <x:v>Chattogram</x:v>
      </x:c>
      <x:c r="F11" t="str">
        <x:v>Online</x:v>
      </x:c>
      <x:c r="G11" t="n">
        <x:v>985</x:v>
      </x:c>
      <x:c r="H11" t="n">
        <x:v>480</x:v>
      </x:c>
      <x:c r="I11" t="n">
        <x:v>472800</x:v>
      </x:c>
      <x:c r="J11" t="str"/>
    </x:row>
    <x:row r="12">
      <x:c r="A12" t="n">
        <x:v>45597</x:v>
      </x:c>
      <x:c r="B12" t="str">
        <x:v>Dry Shampoo Spray</x:v>
      </x:c>
      <x:c r="C12" t="str">
        <x:v>Hair Care</x:v>
      </x:c>
      <x:c r="D12" t="str">
        <x:v>Marico</x:v>
      </x:c>
      <x:c r="E12" t="str">
        <x:v>Sylhet</x:v>
      </x:c>
      <x:c r="F12" t="str">
        <x:v>Wholesale</x:v>
      </x:c>
      <x:c r="G12" t="n">
        <x:v>1023</x:v>
      </x:c>
      <x:c r="H12" t="n">
        <x:v>480</x:v>
      </x:c>
      <x:c r="I12" t="n">
        <x:v>491040</x:v>
      </x:c>
      <x:c r="J12" t="str"/>
    </x:row>
    <x:row r="13">
      <x:c r="A13" t="n">
        <x:v>45627</x:v>
      </x:c>
      <x:c r="B13" t="str">
        <x:v>Dry Shampoo Spray</x:v>
      </x:c>
      <x:c r="C13" t="str">
        <x:v>Hair Care</x:v>
      </x:c>
      <x:c r="D13" t="str">
        <x:v>Marico</x:v>
      </x:c>
      <x:c r="E13" t="str">
        <x:v>Rajshahi</x:v>
      </x:c>
      <x:c r="F13" t="str">
        <x:v>Modern Trade</x:v>
      </x:c>
      <x:c r="G13" t="n">
        <x:v>955</x:v>
      </x:c>
      <x:c r="H13" t="n">
        <x:v>480</x:v>
      </x:c>
      <x:c r="I13" t="n">
        <x:v>458400</x:v>
      </x:c>
      <x:c r="J13" t="str"/>
    </x:row>
    <x:row r="14">
      <x:c r="A14" t="n">
        <x:v>45658</x:v>
      </x:c>
      <x:c r="B14" t="str">
        <x:v>Dry Shampoo Spray</x:v>
      </x:c>
      <x:c r="C14" t="str">
        <x:v>Hair Care</x:v>
      </x:c>
      <x:c r="D14" t="str">
        <x:v>Marico</x:v>
      </x:c>
      <x:c r="E14" t="str">
        <x:v>Khulna</x:v>
      </x:c>
      <x:c r="F14" t="str">
        <x:v>Retail</x:v>
      </x:c>
      <x:c r="G14" t="n">
        <x:v>865</x:v>
      </x:c>
      <x:c r="H14" t="n">
        <x:v>480</x:v>
      </x:c>
      <x:c r="I14" t="n">
        <x:v>415200</x:v>
      </x:c>
      <x:c r="J14" t="str"/>
    </x:row>
    <x:row r="15">
      <x:c r="A15" t="n">
        <x:v>45689</x:v>
      </x:c>
      <x:c r="B15" t="str">
        <x:v>Dry Shampoo Spray</x:v>
      </x:c>
      <x:c r="C15" t="str">
        <x:v>Hair Care</x:v>
      </x:c>
      <x:c r="D15" t="str">
        <x:v>Marico</x:v>
      </x:c>
      <x:c r="E15" t="str">
        <x:v>Barishal</x:v>
      </x:c>
      <x:c r="F15" t="str">
        <x:v>Online</x:v>
      </x:c>
      <x:c r="G15" t="n">
        <x:v>860</x:v>
      </x:c>
      <x:c r="H15" t="n">
        <x:v>480</x:v>
      </x:c>
      <x:c r="I15" t="n">
        <x:v>412800</x:v>
      </x:c>
      <x:c r="J15" t="str"/>
    </x:row>
    <x:row r="16">
      <x:c r="A16" t="n">
        <x:v>45717</x:v>
      </x:c>
      <x:c r="B16" t="str">
        <x:v>Dry Shampoo Spray</x:v>
      </x:c>
      <x:c r="C16" t="str">
        <x:v>Hair Care</x:v>
      </x:c>
      <x:c r="D16" t="str">
        <x:v>Marico</x:v>
      </x:c>
      <x:c r="E16" t="str">
        <x:v>Rangpur</x:v>
      </x:c>
      <x:c r="F16" t="str">
        <x:v>Wholesale</x:v>
      </x:c>
      <x:c r="G16" t="n">
        <x:v>1459</x:v>
      </x:c>
      <x:c r="H16" t="n">
        <x:v>480</x:v>
      </x:c>
      <x:c r="I16" t="n">
        <x:v>700320</x:v>
      </x:c>
      <x:c r="J16" t="str">
        <x:v>Ramadan/Eid demand surge</x:v>
      </x:c>
    </x:row>
    <x:row r="17">
      <x:c r="A17" t="n">
        <x:v>45748</x:v>
      </x:c>
      <x:c r="B17" t="str">
        <x:v>Dry Shampoo Spray</x:v>
      </x:c>
      <x:c r="C17" t="str">
        <x:v>Hair Care</x:v>
      </x:c>
      <x:c r="D17" t="str">
        <x:v>Marico</x:v>
      </x:c>
      <x:c r="E17" t="str">
        <x:v>Mymensingh</x:v>
      </x:c>
      <x:c r="F17" t="str">
        <x:v>Modern Trade</x:v>
      </x:c>
      <x:c r="G17" t="n">
        <x:v>1563</x:v>
      </x:c>
      <x:c r="H17" t="n">
        <x:v>480</x:v>
      </x:c>
      <x:c r="I17" t="n">
        <x:v>750240</x:v>
      </x:c>
      <x:c r="J17" t="str">
        <x:v>Ramadan/Eid demand surge</x:v>
      </x:c>
    </x:row>
    <x:row r="18">
      <x:c r="A18" t="n">
        <x:v>45778</x:v>
      </x:c>
      <x:c r="B18" t="str">
        <x:v>Dry Shampoo Spray</x:v>
      </x:c>
      <x:c r="C18" t="str">
        <x:v>Hair Care</x:v>
      </x:c>
      <x:c r="D18" t="str">
        <x:v>Marico</x:v>
      </x:c>
      <x:c r="E18" t="str">
        <x:v>Dhaka</x:v>
      </x:c>
      <x:c r="F18" t="str">
        <x:v>Retail</x:v>
      </x:c>
      <x:c r="G18" t="n">
        <x:v>947</x:v>
      </x:c>
      <x:c r="H18" t="n">
        <x:v>480</x:v>
      </x:c>
      <x:c r="I18" t="n">
        <x:v>454560</x:v>
      </x:c>
      <x:c r="J18" t="str"/>
    </x:row>
    <x:row r="19">
      <x:c r="A19" t="n">
        <x:v>45809</x:v>
      </x:c>
      <x:c r="B19" t="str">
        <x:v>Dry Shampoo Spray</x:v>
      </x:c>
      <x:c r="C19" t="str">
        <x:v>Hair Care</x:v>
      </x:c>
      <x:c r="D19" t="str">
        <x:v>Marico</x:v>
      </x:c>
      <x:c r="E19" t="str">
        <x:v>Chattogram</x:v>
      </x:c>
      <x:c r="F19" t="str">
        <x:v>Online</x:v>
      </x:c>
      <x:c r="G19" t="n">
        <x:v>1042</x:v>
      </x:c>
      <x:c r="H19" t="n">
        <x:v>480</x:v>
      </x:c>
      <x:c r="I19" t="n">
        <x:v>500160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MAR-DPF-28-01</x:v>
      </x:c>
      <x:c r="B2" t="str">
        <x:v>Dry Shampoo Spray</x:v>
      </x:c>
      <x:c r="C2" t="str">
        <x:v>Hair Care</x:v>
      </x:c>
      <x:c r="D2" t="str">
        <x:v>Marico</x:v>
      </x:c>
      <x:c r="E2" t="str">
        <x:v>Dhaka</x:v>
      </x:c>
      <x:c r="F2" t="str">
        <x:v>Dhaka DC</x:v>
      </x:c>
      <x:c r="G2" t="n">
        <x:v>2779</x:v>
      </x:c>
      <x:c r="H2" t="n">
        <x:v>475</x:v>
      </x:c>
      <x:c r="I2" t="n">
        <x:v>1262</x:v>
      </x:c>
      <x:c r="J2" t="n">
        <x:v>122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MAR-DPF-28-02</x:v>
      </x:c>
      <x:c r="B3" t="str">
        <x:v>Dry Shampoo Spray</x:v>
      </x:c>
      <x:c r="C3" t="str">
        <x:v>Hair Care</x:v>
      </x:c>
      <x:c r="D3" t="str">
        <x:v>Marico</x:v>
      </x:c>
      <x:c r="E3" t="str">
        <x:v>Chattogram</x:v>
      </x:c>
      <x:c r="F3" t="str">
        <x:v>Chattogram DC</x:v>
      </x:c>
      <x:c r="G3" t="n">
        <x:v>2482</x:v>
      </x:c>
      <x:c r="H3" t="n">
        <x:v>617</x:v>
      </x:c>
      <x:c r="I3" t="n">
        <x:v>1282</x:v>
      </x:c>
      <x:c r="J3" t="n">
        <x:v>145</x:v>
      </x:c>
      <x:c r="K3" t="n">
        <x:v>120</x:v>
      </x:c>
      <x:c r="L3" t="n">
        <x:v>45673</x:v>
      </x:c>
      <x:c r="M3" t="str">
        <x:v>OK</x:v>
      </x:c>
    </x:row>
    <x:row r="4">
      <x:c r="A4" t="str">
        <x:v>MAR-DPF-28-03</x:v>
      </x:c>
      <x:c r="B4" t="str">
        <x:v>Dry Shampoo Spray</x:v>
      </x:c>
      <x:c r="C4" t="str">
        <x:v>Hair Care</x:v>
      </x:c>
      <x:c r="D4" t="str">
        <x:v>Marico</x:v>
      </x:c>
      <x:c r="E4" t="str">
        <x:v>Sylhet</x:v>
      </x:c>
      <x:c r="F4" t="str">
        <x:v>Sylhet DC</x:v>
      </x:c>
      <x:c r="G4" t="n">
        <x:v>2896</x:v>
      </x:c>
      <x:c r="H4" t="n">
        <x:v>700</x:v>
      </x:c>
      <x:c r="I4" t="n">
        <x:v>1579</x:v>
      </x:c>
      <x:c r="J4" t="n">
        <x:v>577</x:v>
      </x:c>
      <x:c r="K4" t="n">
        <x:v>120</x:v>
      </x:c>
      <x:c r="L4" t="n">
        <x:v>45674</x:v>
      </x:c>
      <x:c r="M4" t="str">
        <x:v>OK</x:v>
      </x:c>
    </x:row>
    <x:row r="5">
      <x:c r="A5" t="str">
        <x:v>MAR-DPF-28-04</x:v>
      </x:c>
      <x:c r="B5" t="str">
        <x:v>Dry Shampoo Spray</x:v>
      </x:c>
      <x:c r="C5" t="str">
        <x:v>Hair Care</x:v>
      </x:c>
      <x:c r="D5" t="str">
        <x:v>Marico</x:v>
      </x:c>
      <x:c r="E5" t="str">
        <x:v>Rajshahi</x:v>
      </x:c>
      <x:c r="F5" t="str">
        <x:v>Rajshahi DC</x:v>
      </x:c>
      <x:c r="G5" t="n">
        <x:v>1144</x:v>
      </x:c>
      <x:c r="H5" t="n">
        <x:v>624</x:v>
      </x:c>
      <x:c r="I5" t="n">
        <x:v>1347</x:v>
      </x:c>
      <x:c r="J5" t="n">
        <x:v>85</x:v>
      </x:c>
      <x:c r="K5" t="n">
        <x:v>120</x:v>
      </x:c>
      <x:c r="L5" t="n">
        <x:v>45675</x:v>
      </x:c>
      <x:c r="M5" t="str">
        <x:v>Reorder Needed</x:v>
      </x:c>
    </x:row>
    <x:row r="6">
      <x:c r="A6" t="str">
        <x:v>MAR-DPF-28-05</x:v>
      </x:c>
      <x:c r="B6" t="str">
        <x:v>Dry Shampoo Spray</x:v>
      </x:c>
      <x:c r="C6" t="str">
        <x:v>Hair Care</x:v>
      </x:c>
      <x:c r="D6" t="str">
        <x:v>Marico</x:v>
      </x:c>
      <x:c r="E6" t="str">
        <x:v>Khulna</x:v>
      </x:c>
      <x:c r="F6" t="str">
        <x:v>Khulna DC</x:v>
      </x:c>
      <x:c r="G6" t="n">
        <x:v>1763</x:v>
      </x:c>
      <x:c r="H6" t="n">
        <x:v>702</x:v>
      </x:c>
      <x:c r="I6" t="n">
        <x:v>1371</x:v>
      </x:c>
      <x:c r="J6" t="n">
        <x:v>496</x:v>
      </x:c>
      <x:c r="K6" t="n">
        <x:v>120</x:v>
      </x:c>
      <x:c r="L6" t="n">
        <x:v>45676</x:v>
      </x:c>
      <x:c r="M6" t="str">
        <x:v>OK</x:v>
      </x:c>
    </x:row>
    <x:row r="7">
      <x:c r="A7" t="str">
        <x:v>MAR-DPF-28-06</x:v>
      </x:c>
      <x:c r="B7" t="str">
        <x:v>Dry Shampoo Spray</x:v>
      </x:c>
      <x:c r="C7" t="str">
        <x:v>Hair Care</x:v>
      </x:c>
      <x:c r="D7" t="str">
        <x:v>Marico</x:v>
      </x:c>
      <x:c r="E7" t="str">
        <x:v>Barishal</x:v>
      </x:c>
      <x:c r="F7" t="str">
        <x:v>Barishal DC</x:v>
      </x:c>
      <x:c r="G7" t="n">
        <x:v>1427</x:v>
      </x:c>
      <x:c r="H7" t="n">
        <x:v>715</x:v>
      </x:c>
      <x:c r="I7" t="n">
        <x:v>1325</x:v>
      </x:c>
      <x:c r="J7" t="n">
        <x:v>238</x:v>
      </x:c>
      <x:c r="K7" t="n">
        <x:v>120</x:v>
      </x:c>
      <x:c r="L7" t="n">
        <x:v>45677</x:v>
      </x:c>
      <x:c r="M7" t="str">
        <x:v>OK</x:v>
      </x:c>
    </x:row>
    <x:row r="8">
      <x:c r="A8" t="str">
        <x:v>MAR-DPF-28-07</x:v>
      </x:c>
      <x:c r="B8" t="str">
        <x:v>Dry Shampoo Spray</x:v>
      </x:c>
      <x:c r="C8" t="str">
        <x:v>Hair Care</x:v>
      </x:c>
      <x:c r="D8" t="str">
        <x:v>Marico</x:v>
      </x:c>
      <x:c r="E8" t="str">
        <x:v>Rangpur</x:v>
      </x:c>
      <x:c r="F8" t="str">
        <x:v>Rangpur DC</x:v>
      </x:c>
      <x:c r="G8" t="n">
        <x:v>3141</x:v>
      </x:c>
      <x:c r="H8" t="n">
        <x:v>580</x:v>
      </x:c>
      <x:c r="I8" t="n">
        <x:v>1313</x:v>
      </x:c>
      <x:c r="J8" t="n">
        <x:v>481</x:v>
      </x:c>
      <x:c r="K8" t="n">
        <x:v>120</x:v>
      </x:c>
      <x:c r="L8" t="n">
        <x:v>45678</x:v>
      </x:c>
      <x:c r="M8" t="str">
        <x:v>Overstock Risk</x:v>
      </x:c>
    </x:row>
    <x:row r="9">
      <x:c r="A9" t="str">
        <x:v>MAR-DPF-28-08</x:v>
      </x:c>
      <x:c r="B9" t="str">
        <x:v>Dry Shampoo Spray</x:v>
      </x:c>
      <x:c r="C9" t="str">
        <x:v>Hair Care</x:v>
      </x:c>
      <x:c r="D9" t="str">
        <x:v>Marico</x:v>
      </x:c>
      <x:c r="E9" t="str">
        <x:v>Mymensingh</x:v>
      </x:c>
      <x:c r="F9" t="str">
        <x:v>Mymensingh DC</x:v>
      </x:c>
      <x:c r="G9" t="n">
        <x:v>2389</x:v>
      </x:c>
      <x:c r="H9" t="n">
        <x:v>622</x:v>
      </x:c>
      <x:c r="I9" t="n">
        <x:v>1462</x:v>
      </x:c>
      <x:c r="J9" t="n">
        <x:v>415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19.2</x:v>
      </x:c>
      <x:c r="G2" t="n">
        <x:v>14.2</x:v>
      </x:c>
      <x:c r="H2" t="n">
        <x:v>86276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30.5</x:v>
      </x:c>
      <x:c r="G3" t="n">
        <x:v>31.2</x:v>
      </x:c>
      <x:c r="H3" t="n">
        <x:v>151239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25.8</x:v>
      </x:c>
      <x:c r="G4" t="n">
        <x:v>17.5</x:v>
      </x:c>
      <x:c r="H4" t="n">
        <x:v>102787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17.2</x:v>
      </x:c>
      <x:c r="G5" t="n">
        <x:v>21.2</x:v>
      </x:c>
      <x:c r="H5" t="n">
        <x:v>124954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Hair Care</x:v>
      </x:c>
      <x:c r="E2" t="n">
        <x:v>524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Hair Care</x:v>
      </x:c>
      <x:c r="E3" t="n">
        <x:v>529</x:v>
      </x:c>
      <x:c r="F3" t="str">
        <x:v>Yes</x:v>
      </x:c>
      <x:c r="G3" t="str">
        <x:v>Yes</x:v>
      </x:c>
      <x:c r="H3" t="str">
        <x:v>https://example.com/competitor/sunsilk</x:v>
      </x:c>
      <x:c r="I3" t="str">
        <x:v>New competitor product launch</x:v>
      </x:c>
    </x:row>
    <x:row r="4">
      <x:c r="A4" t="n">
        <x:v>45597</x:v>
      </x:c>
      <x:c r="B4" t="str">
        <x:v>Nivea</x:v>
      </x:c>
      <x:c r="C4" t="str">
        <x:v>Nivea alternative</x:v>
      </x:c>
      <x:c r="D4" t="str">
        <x:v>Hair Care</x:v>
      </x:c>
      <x:c r="E4" t="n">
        <x:v>434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Hair Care</x:v>
      </x:c>
      <x:c r="E5" t="n">
        <x:v>435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7.78</x:v>
      </x:c>
      <x:c r="C2" t="n">
        <x:v>100.57</x:v>
      </x:c>
      <x:c r="D2" t="n">
        <x:v>86.95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8.14</x:v>
      </x:c>
      <x:c r="C3" t="n">
        <x:v>99.69</x:v>
      </x:c>
      <x:c r="D3" t="n">
        <x:v>86.08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8.35</x:v>
      </x:c>
      <x:c r="C4" t="n">
        <x:v>100.74</x:v>
      </x:c>
      <x:c r="D4" t="n">
        <x:v>86.03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8.47</x:v>
      </x:c>
      <x:c r="C5" t="n">
        <x:v>101.44</x:v>
      </x:c>
      <x:c r="D5" t="n">
        <x:v>86.03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8.83</x:v>
      </x:c>
      <x:c r="C6" t="n">
        <x:v>101.21</x:v>
      </x:c>
      <x:c r="D6" t="n">
        <x:v>85.35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8.65</x:v>
      </x:c>
      <x:c r="C7" t="n">
        <x:v>100.82</x:v>
      </x:c>
      <x:c r="D7" t="n">
        <x:v>85.55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8.41</x:v>
      </x:c>
      <x:c r="C8" t="n">
        <x:v>102.01</x:v>
      </x:c>
      <x:c r="D8" t="n">
        <x:v>86.3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8.59</x:v>
      </x:c>
      <x:c r="C9" t="n">
        <x:v>101.2</x:v>
      </x:c>
      <x:c r="D9" t="n">
        <x:v>85.76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8.04</x:v>
      </x:c>
      <x:c r="C10" t="n">
        <x:v>102.14</x:v>
      </x:c>
      <x:c r="D10" t="n">
        <x:v>86.98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7.93</x:v>
      </x:c>
      <x:c r="C11" t="n">
        <x:v>103.12</x:v>
      </x:c>
      <x:c r="D11" t="n">
        <x:v>87.46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7.28</x:v>
      </x:c>
      <x:c r="C12" t="n">
        <x:v>102.25</x:v>
      </x:c>
      <x:c r="D12" t="n">
        <x:v>88.3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6.65</x:v>
      </x:c>
      <x:c r="C13" t="n">
        <x:v>102.62</x:v>
      </x:c>
      <x:c r="D13" t="n">
        <x:v>89.48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6.56</x:v>
      </x:c>
      <x:c r="C14" t="n">
        <x:v>103.63</x:v>
      </x:c>
      <x:c r="D14" t="n">
        <x:v>89.93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6.58</x:v>
      </x:c>
      <x:c r="C15" t="n">
        <x:v>103.08</x:v>
      </x:c>
      <x:c r="D15" t="n">
        <x:v>89.73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6.55</x:v>
      </x:c>
      <x:c r="C16" t="n">
        <x:v>104.83</x:v>
      </x:c>
      <x:c r="D16" t="n">
        <x:v>90.32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6.58</x:v>
      </x:c>
      <x:c r="C17" t="n">
        <x:v>105.36</x:v>
      </x:c>
      <x:c r="D17" t="n">
        <x:v>90.42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6.47</x:v>
      </x:c>
      <x:c r="C18" t="n">
        <x:v>104.59</x:v>
      </x:c>
      <x:c r="D18" t="n">
        <x:v>90.37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6.73</x:v>
      </x:c>
      <x:c r="C19" t="n">
        <x:v>104.87</x:v>
      </x:c>
      <x:c r="D19" t="n">
        <x:v>90.02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2</x:v>
      </x:c>
      <x:c r="E2" t="n">
        <x:v>10</x:v>
      </x:c>
      <x:c r="F2" t="n">
        <x:v>5</x:v>
      </x:c>
      <x:c r="G2" t="n">
        <x:v>1</x:v>
      </x:c>
      <x:c r="H2" t="n">
        <x:v>18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4</x:v>
      </x:c>
      <x:c r="E3" t="n">
        <x:v>6</x:v>
      </x:c>
      <x:c r="F3" t="n">
        <x:v>7</x:v>
      </x:c>
      <x:c r="G3" t="n">
        <x:v>2</x:v>
      </x:c>
      <x:c r="H3" t="n">
        <x:v>19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3</x:v>
      </x:c>
      <x:c r="E4" t="n">
        <x:v>5</x:v>
      </x:c>
      <x:c r="F4" t="n">
        <x:v>6</x:v>
      </x:c>
      <x:c r="G4" t="n">
        <x:v>4</x:v>
      </x:c>
      <x:c r="H4" t="n">
        <x:v>18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3</x:v>
      </x:c>
      <x:c r="E5" t="n">
        <x:v>12</x:v>
      </x:c>
      <x:c r="F5" t="n">
        <x:v>9</x:v>
      </x:c>
      <x:c r="G5" t="n">
        <x:v>5</x:v>
      </x:c>
      <x:c r="H5" t="n">
        <x:v>29</x:v>
      </x:c>
      <x:c r="I5" t="str">
        <x:v>Yes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721</x:v>
      </x:c>
      <x:c r="C2" t="n">
        <x:v>614</x:v>
      </x:c>
      <x:c r="D2" t="n">
        <x:f>C2-B2</x:f>
        <x:v>-107</x:v>
      </x:c>
      <x:c r="E2" t="n">
        <x:f>ABS(D2)</x:f>
        <x:v>107</x:v>
      </x:c>
      <x:c r="F2" s="22" t="n">
        <x:f>IFERROR(E2/C2,0)</x:f>
        <x:v>0.1742671009771987</x:v>
      </x:c>
      <x:c r="G2" t="str">
        <x:v>Formula columns should calculate error and accuracy</x:v>
      </x:c>
    </x:row>
    <x:row r="3">
      <x:c r="A3" t="n">
        <x:v>45505</x:v>
      </x:c>
      <x:c r="B3" t="n">
        <x:v>776</x:v>
      </x:c>
      <x:c r="C3" t="n">
        <x:v>895</x:v>
      </x:c>
      <x:c r="D3" t="n">
        <x:f>C3-B3</x:f>
        <x:v>119</x:v>
      </x:c>
      <x:c r="E3" t="n">
        <x:f>ABS(D3)</x:f>
        <x:v>119</x:v>
      </x:c>
      <x:c r="F3" s="22" t="n">
        <x:f>IFERROR(E3/C3,0)</x:f>
        <x:v>0.1329608938547486</x:v>
      </x:c>
      <x:c r="G3" t="str">
        <x:v>Formula columns should calculate error and accuracy</x:v>
      </x:c>
    </x:row>
    <x:row r="4">
      <x:c r="A4" t="n">
        <x:v>45536</x:v>
      </x:c>
      <x:c r="B4" t="n">
        <x:v>840</x:v>
      </x:c>
      <x:c r="C4" t="n">
        <x:v>933</x:v>
      </x:c>
      <x:c r="D4" t="n">
        <x:f>C4-B4</x:f>
        <x:v>93</x:v>
      </x:c>
      <x:c r="E4" t="n">
        <x:f>ABS(D4)</x:f>
        <x:v>93</x:v>
      </x:c>
      <x:c r="F4" s="22" t="n">
        <x:f>IFERROR(E4/C4,0)</x:f>
        <x:v>0.09967845659163987</x:v>
      </x:c>
      <x:c r="G4" t="str">
        <x:v>Formula columns should calculate error and accuracy</x:v>
      </x:c>
    </x:row>
    <x:row r="5">
      <x:c r="A5" t="n">
        <x:v>45566</x:v>
      </x:c>
      <x:c r="B5" t="n">
        <x:v>853</x:v>
      </x:c>
      <x:c r="C5" t="n">
        <x:v>737</x:v>
      </x:c>
      <x:c r="D5" t="n">
        <x:f>C5-B5</x:f>
        <x:v>-116</x:v>
      </x:c>
      <x:c r="E5" t="n">
        <x:f>ABS(D5)</x:f>
        <x:v>116</x:v>
      </x:c>
      <x:c r="F5" s="22" t="n">
        <x:f>IFERROR(E5/C5,0)</x:f>
        <x:v>0.15739484396200815</x:v>
      </x:c>
      <x:c r="G5" t="str">
        <x:v>Formula columns should calculate error and accuracy</x:v>
      </x:c>
    </x:row>
    <x:row r="6">
      <x:c r="A6" t="n">
        <x:v>45597</x:v>
      </x:c>
      <x:c r="B6" t="n">
        <x:v>827</x:v>
      </x:c>
      <x:c r="C6" t="n">
        <x:v>778</x:v>
      </x:c>
      <x:c r="D6" t="n">
        <x:f>C6-B6</x:f>
        <x:v>-49</x:v>
      </x:c>
      <x:c r="E6" t="n">
        <x:f>ABS(D6)</x:f>
        <x:v>49</x:v>
      </x:c>
      <x:c r="F6" s="22" t="n">
        <x:f>IFERROR(E6/C6,0)</x:f>
        <x:v>0.06298200514138817</x:v>
      </x:c>
      <x:c r="G6" t="str">
        <x:v>Formula columns should calculate error and accuracy</x:v>
      </x:c>
    </x:row>
    <x:row r="7">
      <x:c r="A7" t="n">
        <x:v>45627</x:v>
      </x:c>
      <x:c r="B7" t="n">
        <x:v>800</x:v>
      </x:c>
      <x:c r="C7" t="n">
        <x:v>790</x:v>
      </x:c>
      <x:c r="D7" t="n">
        <x:f>C7-B7</x:f>
        <x:v>-10</x:v>
      </x:c>
      <x:c r="E7" t="n">
        <x:f>ABS(D7)</x:f>
        <x:v>10</x:v>
      </x:c>
      <x:c r="F7" s="22" t="n">
        <x:f>IFERROR(E7/C7,0)</x:f>
        <x:v>0.012658227848101266</x:v>
      </x:c>
      <x:c r="G7" t="str">
        <x:v>Formula columns should calculate error and accuracy</x:v>
      </x:c>
    </x:row>
    <x:row r="8">
      <x:c r="A8" t="n">
        <x:v>45658</x:v>
      </x:c>
      <x:c r="B8" t="n">
        <x:v>949</x:v>
      </x:c>
      <x:c r="C8" t="n">
        <x:v>952</x:v>
      </x:c>
      <x:c r="D8" t="n">
        <x:f>C8-B8</x:f>
        <x:v>3</x:v>
      </x:c>
      <x:c r="E8" t="n">
        <x:f>ABS(D8)</x:f>
        <x:v>3</x:v>
      </x:c>
      <x:c r="F8" s="22" t="n">
        <x:f>IFERROR(E8/C8,0)</x:f>
        <x:v>0.0031512605042016808</x:v>
      </x:c>
      <x:c r="G8" t="str">
        <x:v>Formula columns should calculate error and accuracy</x:v>
      </x:c>
    </x:row>
    <x:row r="9">
      <x:c r="A9" t="n">
        <x:v>45689</x:v>
      </x:c>
      <x:c r="B9" t="n">
        <x:v>841</x:v>
      </x:c>
      <x:c r="C9" t="n">
        <x:v>994</x:v>
      </x:c>
      <x:c r="D9" t="n">
        <x:f>C9-B9</x:f>
        <x:v>153</x:v>
      </x:c>
      <x:c r="E9" t="n">
        <x:f>ABS(D9)</x:f>
        <x:v>153</x:v>
      </x:c>
      <x:c r="F9" s="22" t="n">
        <x:f>IFERROR(E9/C9,0)</x:f>
        <x:v>0.15392354124748492</x:v>
      </x:c>
      <x:c r="G9" t="str">
        <x:v>Formula columns should calculate error and accuracy</x:v>
      </x:c>
    </x:row>
    <x:row r="10">
      <x:c r="A10" t="n">
        <x:v>45717</x:v>
      </x:c>
      <x:c r="B10" t="n">
        <x:v>946</x:v>
      </x:c>
      <x:c r="C10" t="n">
        <x:v>782</x:v>
      </x:c>
      <x:c r="D10" t="n">
        <x:f>C10-B10</x:f>
        <x:v>-164</x:v>
      </x:c>
      <x:c r="E10" t="n">
        <x:f>ABS(D10)</x:f>
        <x:v>164</x:v>
      </x:c>
      <x:c r="F10" s="22" t="n">
        <x:f>IFERROR(E10/C10,0)</x:f>
        <x:v>0.20971867007672634</x:v>
      </x:c>
      <x:c r="G10" t="str">
        <x:v>Formula columns should calculate error and accuracy</x:v>
      </x:c>
    </x:row>
    <x:row r="11">
      <x:c r="A11" t="n">
        <x:v>45748</x:v>
      </x:c>
      <x:c r="B11" t="n">
        <x:v>947</x:v>
      </x:c>
      <x:c r="C11" t="n">
        <x:v>868</x:v>
      </x:c>
      <x:c r="D11" t="n">
        <x:f>C11-B11</x:f>
        <x:v>-79</x:v>
      </x:c>
      <x:c r="E11" t="n">
        <x:f>ABS(D11)</x:f>
        <x:v>79</x:v>
      </x:c>
      <x:c r="F11" s="22" t="n">
        <x:f>IFERROR(E11/C11,0)</x:f>
        <x:v>0.09101382488479262</x:v>
      </x:c>
      <x:c r="G11" t="str">
        <x:v>Formula columns should calculate error and accuracy</x:v>
      </x:c>
    </x:row>
    <x:row r="12">
      <x:c r="A12" t="n">
        <x:v>45778</x:v>
      </x:c>
      <x:c r="B12" t="n">
        <x:v>892</x:v>
      </x:c>
      <x:c r="C12" t="n">
        <x:v>885</x:v>
      </x:c>
      <x:c r="D12" t="n">
        <x:f>C12-B12</x:f>
        <x:v>-7</x:v>
      </x:c>
      <x:c r="E12" t="n">
        <x:f>ABS(D12)</x:f>
        <x:v>7</x:v>
      </x:c>
      <x:c r="F12" s="22" t="n">
        <x:f>IFERROR(E12/C12,0)</x:f>
        <x:v>0.007909604519774011</x:v>
      </x:c>
      <x:c r="G12" t="str">
        <x:v>Formula columns should calculate error and accuracy</x:v>
      </x:c>
    </x:row>
    <x:row r="13">
      <x:c r="A13" t="n">
        <x:v>45809</x:v>
      </x:c>
      <x:c r="B13" t="n">
        <x:v>998</x:v>
      </x:c>
      <x:c r="C13" t="n">
        <x:v>914</x:v>
      </x:c>
      <x:c r="D13" t="n">
        <x:f>C13-B13</x:f>
        <x:v>-84</x:v>
      </x:c>
      <x:c r="E13" t="n">
        <x:f>ABS(D13)</x:f>
        <x:v>84</x:v>
      </x:c>
      <x:c r="F13" s="22" t="n">
        <x:f>IFERROR(E13/C13,0)</x:f>
        <x:v>0.09190371991247265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87</x:v>
      </x:c>
      <x:c r="E2" t="n">
        <x:v>587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95</x:v>
      </x:c>
      <x:c r="E3" t="n">
        <x:v>603</x:v>
      </x:c>
      <x:c r="F3" t="str">
        <x:v>High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76</x:v>
      </x:c>
      <x:c r="E4" t="n">
        <x:v>477</x:v>
      </x:c>
      <x:c r="F4" t="str">
        <x:v>Medium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78</x:v>
      </x:c>
      <x:c r="E5" t="n">
        <x:v>638</x:v>
      </x:c>
      <x:c r="F5" t="str">
        <x:v>Medium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95</x:v>
      </x:c>
      <x:c r="E6" t="n">
        <x:v>946</x:v>
      </x:c>
      <x:c r="F6" t="str">
        <x:v>High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80</x:v>
      </x:c>
      <x:c r="E7" t="n">
        <x:v>487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75</x:v>
      </x:c>
      <x:c r="E8" t="n">
        <x:v>463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69</x:v>
      </x:c>
      <x:c r="E9" t="n">
        <x:v>685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Monthly</x:v>
      </x:c>
      <x:c r="E2" t="n">
        <x:v>1</x:v>
      </x:c>
      <x:c r="F2" t="n">
        <x:v>487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Weekly</x:v>
      </x:c>
      <x:c r="E3" t="n">
        <x:v>6</x:v>
      </x:c>
      <x:c r="F3" t="n">
        <x:v>2721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Weekly</x:v>
      </x:c>
      <x:c r="E4" t="n">
        <x:v>6</x:v>
      </x:c>
      <x:c r="F4" t="n">
        <x:v>2535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Monthly</x:v>
      </x:c>
      <x:c r="E5" t="n">
        <x:v>9</x:v>
      </x:c>
      <x:c r="F5" t="n">
        <x:v>4334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8</x:v>
      </x:c>
      <x:c r="F6" t="n">
        <x:v>5332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172</x:v>
      </x:c>
      <x:c r="F2" t="n">
        <x:v>95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66</x:v>
      </x:c>
      <x:c r="F3" t="n">
        <x:v>95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27</x:v>
      </x:c>
      <x:c r="F4" t="n">
        <x:v>72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19</x:v>
      </x:c>
      <x:c r="F5" t="n">
        <x:v>61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Dry Shampoo Spray Marico Hair Care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Dry Shampoo Spray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Hair Care competitor pricing promotions Bangladesh Marico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Dry Shampoo Spray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69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66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61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85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