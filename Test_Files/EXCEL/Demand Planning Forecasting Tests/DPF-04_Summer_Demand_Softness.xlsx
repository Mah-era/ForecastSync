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c5435dd70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789aaec4b3c8485d"/>
    <x:sheet xmlns:r="http://schemas.openxmlformats.org/officeDocument/2006/relationships" name="Historical_Sales" sheetId="2" r:id="R71a57c6e2493484c"/>
    <x:sheet xmlns:r="http://schemas.openxmlformats.org/officeDocument/2006/relationships" name="Inventory" sheetId="3" r:id="R1027a6f4d04c4dc7"/>
    <x:sheet xmlns:r="http://schemas.openxmlformats.org/officeDocument/2006/relationships" name="Promotions" sheetId="4" r:id="R11afad98d73c4cb7"/>
    <x:sheet xmlns:r="http://schemas.openxmlformats.org/officeDocument/2006/relationships" name="Competitors" sheetId="5" r:id="R782da951ef6f46ac"/>
    <x:sheet xmlns:r="http://schemas.openxmlformats.org/officeDocument/2006/relationships" name="Economic" sheetId="6" r:id="R9c7d5c75fd4a4bfe"/>
    <x:sheet xmlns:r="http://schemas.openxmlformats.org/officeDocument/2006/relationships" name="Lead_Time" sheetId="7" r:id="Re5d460ef5e5d4dbc"/>
    <x:sheet xmlns:r="http://schemas.openxmlformats.org/officeDocument/2006/relationships" name="Forecast_Actual" sheetId="8" r:id="R72f7d4dba3b14657"/>
    <x:sheet xmlns:r="http://schemas.openxmlformats.org/officeDocument/2006/relationships" name="Regional_Demand_Map" sheetId="9" r:id="R6671f62ee9544d2e"/>
    <x:sheet xmlns:r="http://schemas.openxmlformats.org/officeDocument/2006/relationships" name="SCM_Flow_Map" sheetId="10" r:id="Rcdc6542882dd4f66"/>
    <x:sheet xmlns:r="http://schemas.openxmlformats.org/officeDocument/2006/relationships" name="Customer_Patterns" sheetId="11" r:id="R4e66c522def240d1"/>
    <x:sheet xmlns:r="http://schemas.openxmlformats.org/officeDocument/2006/relationships" name="Technology_Data" sheetId="12" r:id="R0d326262d17f4eec"/>
    <x:sheet xmlns:r="http://schemas.openxmlformats.org/officeDocument/2006/relationships" name="Web_Search_Seeds" sheetId="13" r:id="R9b6dc41cf9464f80"/>
    <x:sheet xmlns:r="http://schemas.openxmlformats.org/officeDocument/2006/relationships" name="Manual_Expert_Opinion" sheetId="14" r:id="R62c8fdb1edfb4827"/>
    <x:sheet xmlns:r="http://schemas.openxmlformats.org/officeDocument/2006/relationships" name="Data_Issues" sheetId="15" r:id="R7c2f85eceb51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2899a542a41a9" /><Relationship Type="http://schemas.openxmlformats.org/officeDocument/2006/relationships/theme" Target="/xl/theme/theme1.xml" Id="R5bdf1c5725ee4f2c" /><Relationship Type="http://schemas.openxmlformats.org/officeDocument/2006/relationships/sharedStrings" Target="/xl/sharedStrings.xml" Id="Raecbfd68d8334c41" /><Relationship Type="http://schemas.openxmlformats.org/officeDocument/2006/relationships/worksheet" Target="/xl/worksheets/sheet1.xml" Id="R789aaec4b3c8485d" /><Relationship Type="http://schemas.openxmlformats.org/officeDocument/2006/relationships/worksheet" Target="/xl/worksheets/sheet2.xml" Id="R71a57c6e2493484c" /><Relationship Type="http://schemas.openxmlformats.org/officeDocument/2006/relationships/worksheet" Target="/xl/worksheets/sheet3.xml" Id="R1027a6f4d04c4dc7" /><Relationship Type="http://schemas.openxmlformats.org/officeDocument/2006/relationships/worksheet" Target="/xl/worksheets/sheet4.xml" Id="R11afad98d73c4cb7" /><Relationship Type="http://schemas.openxmlformats.org/officeDocument/2006/relationships/worksheet" Target="/xl/worksheets/sheet5.xml" Id="R782da951ef6f46ac" /><Relationship Type="http://schemas.openxmlformats.org/officeDocument/2006/relationships/worksheet" Target="/xl/worksheets/sheet6.xml" Id="R9c7d5c75fd4a4bfe" /><Relationship Type="http://schemas.openxmlformats.org/officeDocument/2006/relationships/worksheet" Target="/xl/worksheets/sheet7.xml" Id="Re5d460ef5e5d4dbc" /><Relationship Type="http://schemas.openxmlformats.org/officeDocument/2006/relationships/worksheet" Target="/xl/worksheets/sheet8.xml" Id="R72f7d4dba3b14657" /><Relationship Type="http://schemas.openxmlformats.org/officeDocument/2006/relationships/worksheet" Target="/xl/worksheets/sheet9.xml" Id="R6671f62ee9544d2e" /><Relationship Type="http://schemas.openxmlformats.org/officeDocument/2006/relationships/worksheet" Target="/xl/worksheets/sheet10.xml" Id="Rcdc6542882dd4f66" /><Relationship Type="http://schemas.openxmlformats.org/officeDocument/2006/relationships/worksheet" Target="/xl/worksheets/sheet11.xml" Id="R4e66c522def240d1" /><Relationship Type="http://schemas.openxmlformats.org/officeDocument/2006/relationships/worksheet" Target="/xl/worksheets/sheet12.xml" Id="R0d326262d17f4eec" /><Relationship Type="http://schemas.openxmlformats.org/officeDocument/2006/relationships/worksheet" Target="/xl/worksheets/sheet13.xml" Id="R9b6dc41cf9464f80" /><Relationship Type="http://schemas.openxmlformats.org/officeDocument/2006/relationships/worksheet" Target="/xl/worksheets/sheet14.xml" Id="R62c8fdb1edfb4827" /><Relationship Type="http://schemas.openxmlformats.org/officeDocument/2006/relationships/worksheet" Target="/xl/worksheets/sheet15.xml" Id="R7c2f85eceb51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DPF-04</x:v>
      </x:c>
    </x:row>
    <x:row r="3">
      <x:c r="A3" t="str">
        <x:v>Scenario Title</x:v>
      </x:c>
      <x:c r="B3" t="str">
        <x:v>Summer Demand Softness</x:v>
      </x:c>
    </x:row>
    <x:row r="4">
      <x:c r="A4" t="str">
        <x:v>Purpose</x:v>
      </x:c>
      <x:c r="B4" t="str">
        <x:v>Test demand drop in hot season.</x:v>
      </x:c>
    </x:row>
    <x:row r="5">
      <x:c r="A5" t="str">
        <x:v>Product Name</x:v>
      </x:c>
      <x:c r="B5" t="str">
        <x:v>Moisturizing Cream</x:v>
      </x:c>
    </x:row>
    <x:row r="6">
      <x:c r="A6" t="str">
        <x:v>Category</x:v>
      </x:c>
      <x:c r="B6" t="str">
        <x:v>Skin Care</x:v>
      </x:c>
    </x:row>
    <x:row r="7">
      <x:c r="A7" t="str">
        <x:v>Brand</x:v>
      </x:c>
      <x:c r="B7" t="str">
        <x:v>Nivea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Seasonality, Economic Conditions, Historical Sales</x:v>
      </x:c>
    </x:row>
    <x:row r="11">
      <x:c r="A11" t="str">
        <x:v>Recommended Inputs To Tick</x:v>
      </x:c>
      <x:c r="B11" t="str">
        <x:v>Historical Sales Data, Seasonality, Economic Conditions</x:v>
      </x:c>
    </x:row>
    <x:row r="12">
      <x:c r="A12" t="str">
        <x:v>Recommended Outputs To Tick</x:v>
      </x:c>
      <x:c r="B12" t="str">
        <x:v>Demand Forecast, Seasonal Demand Impact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Moisturizing Cream</x:v>
      </x:c>
      <x:c r="C2" t="str">
        <x:v>Skin Care</x:v>
      </x:c>
      <x:c r="D2" t="str">
        <x:v>Nivea</x:v>
      </x:c>
      <x:c r="E2" t="str">
        <x:v>Dhaka</x:v>
      </x:c>
      <x:c r="F2" t="str">
        <x:v>Retail</x:v>
      </x:c>
      <x:c r="G2" t="n">
        <x:v>1027</x:v>
      </x:c>
      <x:c r="H2" t="n">
        <x:v>520</x:v>
      </x:c>
      <x:c r="I2" t="n">
        <x:v>534040</x:v>
      </x:c>
      <x:c r="J2" t="str"/>
    </x:row>
    <x:row r="3">
      <x:c r="A3" t="n">
        <x:v>45323</x:v>
      </x:c>
      <x:c r="B3" t="str">
        <x:v>Moisturizing Cream</x:v>
      </x:c>
      <x:c r="C3" t="str">
        <x:v>Skin Care</x:v>
      </x:c>
      <x:c r="D3" t="str">
        <x:v>Nivea</x:v>
      </x:c>
      <x:c r="E3" t="str">
        <x:v>Chattogram</x:v>
      </x:c>
      <x:c r="F3" t="str">
        <x:v>Online</x:v>
      </x:c>
      <x:c r="G3" t="n">
        <x:v>1001</x:v>
      </x:c>
      <x:c r="H3" t="n">
        <x:v>520</x:v>
      </x:c>
      <x:c r="I3" t="n">
        <x:v>520520</x:v>
      </x:c>
      <x:c r="J3" t="str"/>
    </x:row>
    <x:row r="4">
      <x:c r="A4" t="n">
        <x:v>45352</x:v>
      </x:c>
      <x:c r="B4" t="str">
        <x:v>Moisturizing Cream</x:v>
      </x:c>
      <x:c r="C4" t="str">
        <x:v>Skin Care</x:v>
      </x:c>
      <x:c r="D4" t="str">
        <x:v>Nivea</x:v>
      </x:c>
      <x:c r="E4" t="str">
        <x:v>Sylhet</x:v>
      </x:c>
      <x:c r="F4" t="str">
        <x:v>Wholesale</x:v>
      </x:c>
      <x:c r="G4" t="n">
        <x:v>1257</x:v>
      </x:c>
      <x:c r="H4" t="n">
        <x:v>520</x:v>
      </x:c>
      <x:c r="I4" t="n">
        <x:v>653640</x:v>
      </x:c>
      <x:c r="J4" t="str"/>
    </x:row>
    <x:row r="5">
      <x:c r="A5" t="n">
        <x:v>45383</x:v>
      </x:c>
      <x:c r="B5" t="str">
        <x:v>Moisturizing Cream</x:v>
      </x:c>
      <x:c r="C5" t="str">
        <x:v>Skin Care</x:v>
      </x:c>
      <x:c r="D5" t="str">
        <x:v>Nivea</x:v>
      </x:c>
      <x:c r="E5" t="str">
        <x:v>Rajshahi</x:v>
      </x:c>
      <x:c r="F5" t="str">
        <x:v>Modern Trade</x:v>
      </x:c>
      <x:c r="G5" t="n">
        <x:v>1023</x:v>
      </x:c>
      <x:c r="H5" t="n">
        <x:v>520</x:v>
      </x:c>
      <x:c r="I5" t="n">
        <x:v>531960</x:v>
      </x:c>
      <x:c r="J5" t="str"/>
    </x:row>
    <x:row r="6">
      <x:c r="A6" t="n">
        <x:v>45413</x:v>
      </x:c>
      <x:c r="B6" t="str">
        <x:v>Moisturizing Cream</x:v>
      </x:c>
      <x:c r="C6" t="str">
        <x:v>Skin Care</x:v>
      </x:c>
      <x:c r="D6" t="str">
        <x:v>Nivea</x:v>
      </x:c>
      <x:c r="E6" t="str">
        <x:v>Khulna</x:v>
      </x:c>
      <x:c r="F6" t="str">
        <x:v>Retail</x:v>
      </x:c>
      <x:c r="G6" t="n">
        <x:v>745</x:v>
      </x:c>
      <x:c r="H6" t="n">
        <x:v>520</x:v>
      </x:c>
      <x:c r="I6" t="n">
        <x:v>387400</x:v>
      </x:c>
      <x:c r="J6" t="str">
        <x:v>Summer demand softness</x:v>
      </x:c>
    </x:row>
    <x:row r="7">
      <x:c r="A7" t="n">
        <x:v>45444</x:v>
      </x:c>
      <x:c r="B7" t="str">
        <x:v>Moisturizing Cream</x:v>
      </x:c>
      <x:c r="C7" t="str">
        <x:v>Skin Care</x:v>
      </x:c>
      <x:c r="D7" t="str">
        <x:v>Nivea</x:v>
      </x:c>
      <x:c r="E7" t="str">
        <x:v>Barishal</x:v>
      </x:c>
      <x:c r="F7" t="str">
        <x:v>Online</x:v>
      </x:c>
      <x:c r="G7" t="n">
        <x:v>800</x:v>
      </x:c>
      <x:c r="H7" t="n">
        <x:v>520</x:v>
      </x:c>
      <x:c r="I7" t="n">
        <x:v>416000</x:v>
      </x:c>
      <x:c r="J7" t="str">
        <x:v>Summer demand softness</x:v>
      </x:c>
    </x:row>
    <x:row r="8">
      <x:c r="A8" t="n">
        <x:v>45474</x:v>
      </x:c>
      <x:c r="B8" t="str">
        <x:v>Moisturizing Cream</x:v>
      </x:c>
      <x:c r="C8" t="str">
        <x:v>Skin Care</x:v>
      </x:c>
      <x:c r="D8" t="str">
        <x:v>Nivea</x:v>
      </x:c>
      <x:c r="E8" t="str">
        <x:v>Rangpur</x:v>
      </x:c>
      <x:c r="F8" t="str">
        <x:v>Wholesale</x:v>
      </x:c>
      <x:c r="G8" t="n">
        <x:v>934</x:v>
      </x:c>
      <x:c r="H8" t="n">
        <x:v>520</x:v>
      </x:c>
      <x:c r="I8" t="n">
        <x:v>485680</x:v>
      </x:c>
      <x:c r="J8" t="str">
        <x:v>Summer demand softness</x:v>
      </x:c>
    </x:row>
    <x:row r="9">
      <x:c r="A9" t="n">
        <x:v>45505</x:v>
      </x:c>
      <x:c r="B9" t="str">
        <x:v>Moisturizing Cream</x:v>
      </x:c>
      <x:c r="C9" t="str">
        <x:v>Skin Care</x:v>
      </x:c>
      <x:c r="D9" t="str">
        <x:v>Nivea</x:v>
      </x:c>
      <x:c r="E9" t="str">
        <x:v>Mymensingh</x:v>
      </x:c>
      <x:c r="F9" t="str">
        <x:v>Modern Trade</x:v>
      </x:c>
      <x:c r="G9" t="n">
        <x:v>901</x:v>
      </x:c>
      <x:c r="H9" t="n">
        <x:v>520</x:v>
      </x:c>
      <x:c r="I9" t="n">
        <x:v>468520</x:v>
      </x:c>
      <x:c r="J9" t="str">
        <x:v>Summer demand softness</x:v>
      </x:c>
    </x:row>
    <x:row r="10">
      <x:c r="A10" t="n">
        <x:v>45536</x:v>
      </x:c>
      <x:c r="B10" t="str">
        <x:v>Moisturizing Cream</x:v>
      </x:c>
      <x:c r="C10" t="str">
        <x:v>Skin Care</x:v>
      </x:c>
      <x:c r="D10" t="str">
        <x:v>Nivea</x:v>
      </x:c>
      <x:c r="E10" t="str">
        <x:v>Dhaka</x:v>
      </x:c>
      <x:c r="F10" t="str">
        <x:v>Retail</x:v>
      </x:c>
      <x:c r="G10" t="n">
        <x:v>1155</x:v>
      </x:c>
      <x:c r="H10" t="n">
        <x:v>520</x:v>
      </x:c>
      <x:c r="I10" t="n">
        <x:v>600600</x:v>
      </x:c>
      <x:c r="J10" t="str"/>
    </x:row>
    <x:row r="11">
      <x:c r="A11" t="n">
        <x:v>45566</x:v>
      </x:c>
      <x:c r="B11" t="str">
        <x:v>Moisturizing Cream</x:v>
      </x:c>
      <x:c r="C11" t="str">
        <x:v>Skin Care</x:v>
      </x:c>
      <x:c r="D11" t="str">
        <x:v>Nivea</x:v>
      </x:c>
      <x:c r="E11" t="str">
        <x:v>Chattogram</x:v>
      </x:c>
      <x:c r="F11" t="str">
        <x:v>Online</x:v>
      </x:c>
      <x:c r="G11" t="n">
        <x:v>1241</x:v>
      </x:c>
      <x:c r="H11" t="n">
        <x:v>520</x:v>
      </x:c>
      <x:c r="I11" t="n">
        <x:v>645320</x:v>
      </x:c>
      <x:c r="J11" t="str"/>
    </x:row>
    <x:row r="12">
      <x:c r="A12" t="n">
        <x:v>45597</x:v>
      </x:c>
      <x:c r="B12" t="str">
        <x:v>Moisturizing Cream</x:v>
      </x:c>
      <x:c r="C12" t="str">
        <x:v>Skin Care</x:v>
      </x:c>
      <x:c r="D12" t="str">
        <x:v>Nivea</x:v>
      </x:c>
      <x:c r="E12" t="str">
        <x:v>Sylhet</x:v>
      </x:c>
      <x:c r="F12" t="str">
        <x:v>Wholesale</x:v>
      </x:c>
      <x:c r="G12" t="n">
        <x:v>1148</x:v>
      </x:c>
      <x:c r="H12" t="n">
        <x:v>520</x:v>
      </x:c>
      <x:c r="I12" t="n">
        <x:v>596960</x:v>
      </x:c>
      <x:c r="J12" t="str"/>
    </x:row>
    <x:row r="13">
      <x:c r="A13" t="n">
        <x:v>45627</x:v>
      </x:c>
      <x:c r="B13" t="str">
        <x:v>Moisturizing Cream</x:v>
      </x:c>
      <x:c r="C13" t="str">
        <x:v>Skin Care</x:v>
      </x:c>
      <x:c r="D13" t="str">
        <x:v>Nivea</x:v>
      </x:c>
      <x:c r="E13" t="str">
        <x:v>Rajshahi</x:v>
      </x:c>
      <x:c r="F13" t="str">
        <x:v>Modern Trade</x:v>
      </x:c>
      <x:c r="G13" t="n">
        <x:v>1419</x:v>
      </x:c>
      <x:c r="H13" t="n">
        <x:v>520</x:v>
      </x:c>
      <x:c r="I13" t="n">
        <x:v>737880</x:v>
      </x:c>
      <x:c r="J13" t="str"/>
    </x:row>
    <x:row r="14">
      <x:c r="A14" t="n">
        <x:v>45658</x:v>
      </x:c>
      <x:c r="B14" t="str">
        <x:v>Moisturizing Cream</x:v>
      </x:c>
      <x:c r="C14" t="str">
        <x:v>Skin Care</x:v>
      </x:c>
      <x:c r="D14" t="str">
        <x:v>Nivea</x:v>
      </x:c>
      <x:c r="E14" t="str">
        <x:v>Khulna</x:v>
      </x:c>
      <x:c r="F14" t="str">
        <x:v>Retail</x:v>
      </x:c>
      <x:c r="G14" t="n">
        <x:v>1287</x:v>
      </x:c>
      <x:c r="H14" t="n">
        <x:v>520</x:v>
      </x:c>
      <x:c r="I14" t="n">
        <x:v>669240</x:v>
      </x:c>
      <x:c r="J14" t="str"/>
    </x:row>
    <x:row r="15">
      <x:c r="A15" t="n">
        <x:v>45689</x:v>
      </x:c>
      <x:c r="B15" t="str">
        <x:v>Moisturizing Cream</x:v>
      </x:c>
      <x:c r="C15" t="str">
        <x:v>Skin Care</x:v>
      </x:c>
      <x:c r="D15" t="str">
        <x:v>Nivea</x:v>
      </x:c>
      <x:c r="E15" t="str">
        <x:v>Barishal</x:v>
      </x:c>
      <x:c r="F15" t="str">
        <x:v>Online</x:v>
      </x:c>
      <x:c r="G15" t="n">
        <x:v>1238</x:v>
      </x:c>
      <x:c r="H15" t="n">
        <x:v>520</x:v>
      </x:c>
      <x:c r="I15" t="n">
        <x:v>643760</x:v>
      </x:c>
      <x:c r="J15" t="str"/>
    </x:row>
    <x:row r="16">
      <x:c r="A16" t="n">
        <x:v>45717</x:v>
      </x:c>
      <x:c r="B16" t="str">
        <x:v>Moisturizing Cream</x:v>
      </x:c>
      <x:c r="C16" t="str">
        <x:v>Skin Care</x:v>
      </x:c>
      <x:c r="D16" t="str">
        <x:v>Nivea</x:v>
      </x:c>
      <x:c r="E16" t="str">
        <x:v>Rangpur</x:v>
      </x:c>
      <x:c r="F16" t="str">
        <x:v>Wholesale</x:v>
      </x:c>
      <x:c r="G16" t="n">
        <x:v>1289</x:v>
      </x:c>
      <x:c r="H16" t="n">
        <x:v>520</x:v>
      </x:c>
      <x:c r="I16" t="n">
        <x:v>670280</x:v>
      </x:c>
      <x:c r="J16" t="str"/>
    </x:row>
    <x:row r="17">
      <x:c r="A17" t="n">
        <x:v>45748</x:v>
      </x:c>
      <x:c r="B17" t="str">
        <x:v>Moisturizing Cream</x:v>
      </x:c>
      <x:c r="C17" t="str">
        <x:v>Skin Care</x:v>
      </x:c>
      <x:c r="D17" t="str">
        <x:v>Nivea</x:v>
      </x:c>
      <x:c r="E17" t="str">
        <x:v>Mymensingh</x:v>
      </x:c>
      <x:c r="F17" t="str">
        <x:v>Modern Trade</x:v>
      </x:c>
      <x:c r="G17" t="n">
        <x:v>1382</x:v>
      </x:c>
      <x:c r="H17" t="n">
        <x:v>520</x:v>
      </x:c>
      <x:c r="I17" t="n">
        <x:v>718640</x:v>
      </x:c>
      <x:c r="J17" t="str"/>
    </x:row>
    <x:row r="18">
      <x:c r="A18" t="n">
        <x:v>45778</x:v>
      </x:c>
      <x:c r="B18" t="str">
        <x:v>Moisturizing Cream</x:v>
      </x:c>
      <x:c r="C18" t="str">
        <x:v>Skin Care</x:v>
      </x:c>
      <x:c r="D18" t="str">
        <x:v>Nivea</x:v>
      </x:c>
      <x:c r="E18" t="str">
        <x:v>Dhaka</x:v>
      </x:c>
      <x:c r="F18" t="str">
        <x:v>Retail</x:v>
      </x:c>
      <x:c r="G18" t="n">
        <x:v>1091</x:v>
      </x:c>
      <x:c r="H18" t="n">
        <x:v>520</x:v>
      </x:c>
      <x:c r="I18" t="n">
        <x:v>567320</x:v>
      </x:c>
      <x:c r="J18" t="str">
        <x:v>Summer demand softness</x:v>
      </x:c>
    </x:row>
    <x:row r="19">
      <x:c r="A19" t="n">
        <x:v>45809</x:v>
      </x:c>
      <x:c r="B19" t="str">
        <x:v>Moisturizing Cream</x:v>
      </x:c>
      <x:c r="C19" t="str">
        <x:v>Skin Care</x:v>
      </x:c>
      <x:c r="D19" t="str">
        <x:v>Nivea</x:v>
      </x:c>
      <x:c r="E19" t="str">
        <x:v>Chattogram</x:v>
      </x:c>
      <x:c r="F19" t="str">
        <x:v>Online</x:v>
      </x:c>
      <x:c r="G19" t="n">
        <x:v>1046</x:v>
      </x:c>
      <x:c r="H19" t="n">
        <x:v>520</x:v>
      </x:c>
      <x:c r="I19" t="n">
        <x:v>543920</x:v>
      </x:c>
      <x:c r="J19" t="str">
        <x:v>Summer demand softness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NIV-DPF-04-01</x:v>
      </x:c>
      <x:c r="B2" t="str">
        <x:v>Moisturizing Cream</x:v>
      </x:c>
      <x:c r="C2" t="str">
        <x:v>Skin Care</x:v>
      </x:c>
      <x:c r="D2" t="str">
        <x:v>Nivea</x:v>
      </x:c>
      <x:c r="E2" t="str">
        <x:v>Dhaka</x:v>
      </x:c>
      <x:c r="F2" t="str">
        <x:v>Dhaka DC</x:v>
      </x:c>
      <x:c r="G2" t="n">
        <x:v>3111</x:v>
      </x:c>
      <x:c r="H2" t="n">
        <x:v>485</x:v>
      </x:c>
      <x:c r="I2" t="n">
        <x:v>1145</x:v>
      </x:c>
      <x:c r="J2" t="n">
        <x:v>393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NIV-DPF-04-02</x:v>
      </x:c>
      <x:c r="B3" t="str">
        <x:v>Moisturizing Cream</x:v>
      </x:c>
      <x:c r="C3" t="str">
        <x:v>Skin Care</x:v>
      </x:c>
      <x:c r="D3" t="str">
        <x:v>Nivea</x:v>
      </x:c>
      <x:c r="E3" t="str">
        <x:v>Chattogram</x:v>
      </x:c>
      <x:c r="F3" t="str">
        <x:v>Chattogram DC</x:v>
      </x:c>
      <x:c r="G3" t="n">
        <x:v>3546</x:v>
      </x:c>
      <x:c r="H3" t="n">
        <x:v>598</x:v>
      </x:c>
      <x:c r="I3" t="n">
        <x:v>1449</x:v>
      </x:c>
      <x:c r="J3" t="n">
        <x:v>281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NIV-DPF-04-03</x:v>
      </x:c>
      <x:c r="B4" t="str">
        <x:v>Moisturizing Cream</x:v>
      </x:c>
      <x:c r="C4" t="str">
        <x:v>Skin Care</x:v>
      </x:c>
      <x:c r="D4" t="str">
        <x:v>Nivea</x:v>
      </x:c>
      <x:c r="E4" t="str">
        <x:v>Sylhet</x:v>
      </x:c>
      <x:c r="F4" t="str">
        <x:v>Sylhet DC</x:v>
      </x:c>
      <x:c r="G4" t="n">
        <x:v>3582</x:v>
      </x:c>
      <x:c r="H4" t="n">
        <x:v>495</x:v>
      </x:c>
      <x:c r="I4" t="n">
        <x:v>1244</x:v>
      </x:c>
      <x:c r="J4" t="n">
        <x:v>532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NIV-DPF-04-04</x:v>
      </x:c>
      <x:c r="B5" t="str">
        <x:v>Moisturizing Cream</x:v>
      </x:c>
      <x:c r="C5" t="str">
        <x:v>Skin Care</x:v>
      </x:c>
      <x:c r="D5" t="str">
        <x:v>Nivea</x:v>
      </x:c>
      <x:c r="E5" t="str">
        <x:v>Rajshahi</x:v>
      </x:c>
      <x:c r="F5" t="str">
        <x:v>Rajshahi DC</x:v>
      </x:c>
      <x:c r="G5" t="n">
        <x:v>1573</x:v>
      </x:c>
      <x:c r="H5" t="n">
        <x:v>632</x:v>
      </x:c>
      <x:c r="I5" t="n">
        <x:v>1289</x:v>
      </x:c>
      <x:c r="J5" t="n">
        <x:v>451</x:v>
      </x:c>
      <x:c r="K5" t="n">
        <x:v>120</x:v>
      </x:c>
      <x:c r="L5" t="n">
        <x:v>45675</x:v>
      </x:c>
      <x:c r="M5" t="str">
        <x:v>OK</x:v>
      </x:c>
    </x:row>
    <x:row r="6">
      <x:c r="A6" t="str">
        <x:v>NIV-DPF-04-05</x:v>
      </x:c>
      <x:c r="B6" t="str">
        <x:v>Moisturizing Cream</x:v>
      </x:c>
      <x:c r="C6" t="str">
        <x:v>Skin Care</x:v>
      </x:c>
      <x:c r="D6" t="str">
        <x:v>Nivea</x:v>
      </x:c>
      <x:c r="E6" t="str">
        <x:v>Khulna</x:v>
      </x:c>
      <x:c r="F6" t="str">
        <x:v>Khulna DC</x:v>
      </x:c>
      <x:c r="G6" t="n">
        <x:v>3191</x:v>
      </x:c>
      <x:c r="H6" t="n">
        <x:v>659</x:v>
      </x:c>
      <x:c r="I6" t="n">
        <x:v>1400</x:v>
      </x:c>
      <x:c r="J6" t="n">
        <x:v>98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NIV-DPF-04-06</x:v>
      </x:c>
      <x:c r="B7" t="str">
        <x:v>Moisturizing Cream</x:v>
      </x:c>
      <x:c r="C7" t="str">
        <x:v>Skin Care</x:v>
      </x:c>
      <x:c r="D7" t="str">
        <x:v>Nivea</x:v>
      </x:c>
      <x:c r="E7" t="str">
        <x:v>Barishal</x:v>
      </x:c>
      <x:c r="F7" t="str">
        <x:v>Barishal DC</x:v>
      </x:c>
      <x:c r="G7" t="n">
        <x:v>2407</x:v>
      </x:c>
      <x:c r="H7" t="n">
        <x:v>622</x:v>
      </x:c>
      <x:c r="I7" t="n">
        <x:v>1204</x:v>
      </x:c>
      <x:c r="J7" t="n">
        <x:v>431</x:v>
      </x:c>
      <x:c r="K7" t="n">
        <x:v>120</x:v>
      </x:c>
      <x:c r="L7" t="n">
        <x:v>45677</x:v>
      </x:c>
      <x:c r="M7" t="str">
        <x:v>OK</x:v>
      </x:c>
    </x:row>
    <x:row r="8">
      <x:c r="A8" t="str">
        <x:v>NIV-DPF-04-07</x:v>
      </x:c>
      <x:c r="B8" t="str">
        <x:v>Moisturizing Cream</x:v>
      </x:c>
      <x:c r="C8" t="str">
        <x:v>Skin Care</x:v>
      </x:c>
      <x:c r="D8" t="str">
        <x:v>Nivea</x:v>
      </x:c>
      <x:c r="E8" t="str">
        <x:v>Rangpur</x:v>
      </x:c>
      <x:c r="F8" t="str">
        <x:v>Rangpur DC</x:v>
      </x:c>
      <x:c r="G8" t="n">
        <x:v>911</x:v>
      </x:c>
      <x:c r="H8" t="n">
        <x:v>556</x:v>
      </x:c>
      <x:c r="I8" t="n">
        <x:v>1273</x:v>
      </x:c>
      <x:c r="J8" t="n">
        <x:v>313</x:v>
      </x:c>
      <x:c r="K8" t="n">
        <x:v>120</x:v>
      </x:c>
      <x:c r="L8" t="n">
        <x:v>45678</x:v>
      </x:c>
      <x:c r="M8" t="str">
        <x:v>Reorder Needed</x:v>
      </x:c>
    </x:row>
    <x:row r="9">
      <x:c r="A9" t="str">
        <x:v>NIV-DPF-04-08</x:v>
      </x:c>
      <x:c r="B9" t="str">
        <x:v>Moisturizing Cream</x:v>
      </x:c>
      <x:c r="C9" t="str">
        <x:v>Skin Care</x:v>
      </x:c>
      <x:c r="D9" t="str">
        <x:v>Nivea</x:v>
      </x:c>
      <x:c r="E9" t="str">
        <x:v>Mymensingh</x:v>
      </x:c>
      <x:c r="F9" t="str">
        <x:v>Mymensingh DC</x:v>
      </x:c>
      <x:c r="G9" t="n">
        <x:v>1916</x:v>
      </x:c>
      <x:c r="H9" t="n">
        <x:v>685</x:v>
      </x:c>
      <x:c r="I9" t="n">
        <x:v>1392</x:v>
      </x:c>
      <x:c r="J9" t="n">
        <x:v>159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14.1</x:v>
      </x:c>
      <x:c r="G2" t="n">
        <x:v>13.6</x:v>
      </x:c>
      <x:c r="H2" t="n">
        <x:v>128541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29.1</x:v>
      </x:c>
      <x:c r="G3" t="n">
        <x:v>35</x:v>
      </x:c>
      <x:c r="H3" t="n">
        <x:v>139718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22</x:v>
      </x:c>
      <x:c r="G4" t="n">
        <x:v>25.2</x:v>
      </x:c>
      <x:c r="H4" t="n">
        <x:v>123323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13.2</x:v>
      </x:c>
      <x:c r="G5" t="n">
        <x:v>10.5</x:v>
      </x:c>
      <x:c r="H5" t="n">
        <x:v>154116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Skin Care</x:v>
      </x:c>
      <x:c r="E2" t="n">
        <x:v>479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Skin Care</x:v>
      </x:c>
      <x:c r="E3" t="n">
        <x:v>511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Skin Care</x:v>
      </x:c>
      <x:c r="E4" t="n">
        <x:v>567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Skin Care</x:v>
      </x:c>
      <x:c r="E5" t="n">
        <x:v>533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7.6</x:v>
      </x:c>
      <x:c r="C2" t="n">
        <x:v>99.67</x:v>
      </x:c>
      <x:c r="D2" t="n">
        <x:v>86.98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7.89</x:v>
      </x:c>
      <x:c r="C3" t="n">
        <x:v>99.95</x:v>
      </x:c>
      <x:c r="D3" t="n">
        <x:v>86.57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8.23</x:v>
      </x:c>
      <x:c r="C4" t="n">
        <x:v>100.31</x:v>
      </x:c>
      <x:c r="D4" t="n">
        <x:v>86.09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8.36</x:v>
      </x:c>
      <x:c r="C5" t="n">
        <x:v>100.46</x:v>
      </x:c>
      <x:c r="D5" t="n">
        <x:v>85.92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8.72</x:v>
      </x:c>
      <x:c r="C6" t="n">
        <x:v>101.96</x:v>
      </x:c>
      <x:c r="D6" t="n">
        <x:v>85.76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8.73</x:v>
      </x:c>
      <x:c r="C7" t="n">
        <x:v>101.53</x:v>
      </x:c>
      <x:c r="D7" t="n">
        <x:v>85.62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8.41</x:v>
      </x:c>
      <x:c r="C8" t="n">
        <x:v>101.28</x:v>
      </x:c>
      <x:c r="D8" t="n">
        <x:v>86.09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8.31</x:v>
      </x:c>
      <x:c r="C9" t="n">
        <x:v>102.21</x:v>
      </x:c>
      <x:c r="D9" t="n">
        <x:v>86.53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7.89</x:v>
      </x:c>
      <x:c r="C10" t="n">
        <x:v>102.35</x:v>
      </x:c>
      <x:c r="D10" t="n">
        <x:v>87.29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7.8</x:v>
      </x:c>
      <x:c r="C11" t="n">
        <x:v>102.6</x:v>
      </x:c>
      <x:c r="D11" t="n">
        <x:v>87.52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6.98</x:v>
      </x:c>
      <x:c r="C12" t="n">
        <x:v>102.59</x:v>
      </x:c>
      <x:c r="D12" t="n">
        <x:v>88.91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6.84</x:v>
      </x:c>
      <x:c r="C13" t="n">
        <x:v>102.79</x:v>
      </x:c>
      <x:c r="D13" t="n">
        <x:v>89.21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6.69</x:v>
      </x:c>
      <x:c r="C14" t="n">
        <x:v>103.34</x:v>
      </x:c>
      <x:c r="D14" t="n">
        <x:v>89.63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6.42</x:v>
      </x:c>
      <x:c r="C15" t="n">
        <x:v>103.59</x:v>
      </x:c>
      <x:c r="D15" t="n">
        <x:v>90.17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6.6</x:v>
      </x:c>
      <x:c r="C16" t="n">
        <x:v>104.3</x:v>
      </x:c>
      <x:c r="D16" t="n">
        <x:v>90.07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6.26</x:v>
      </x:c>
      <x:c r="C17" t="n">
        <x:v>104.41</x:v>
      </x:c>
      <x:c r="D17" t="n">
        <x:v>90.68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6.41</x:v>
      </x:c>
      <x:c r="C18" t="n">
        <x:v>104.26</x:v>
      </x:c>
      <x:c r="D18" t="n">
        <x:v>90.38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6.94</x:v>
      </x:c>
      <x:c r="C19" t="n">
        <x:v>104.73</x:v>
      </x:c>
      <x:c r="D19" t="n">
        <x:v>89.62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7</x:v>
      </x:c>
      <x:c r="F2" t="n">
        <x:v>5</x:v>
      </x:c>
      <x:c r="G2" t="n">
        <x:v>2</x:v>
      </x:c>
      <x:c r="H2" t="n">
        <x:v>20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9</x:v>
      </x:c>
      <x:c r="F3" t="n">
        <x:v>6</x:v>
      </x:c>
      <x:c r="G3" t="n">
        <x:v>1</x:v>
      </x:c>
      <x:c r="H3" t="n">
        <x:v>21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3</x:v>
      </x:c>
      <x:c r="E4" t="n">
        <x:v>9</x:v>
      </x:c>
      <x:c r="F4" t="n">
        <x:v>5</x:v>
      </x:c>
      <x:c r="G4" t="n">
        <x:v>3</x:v>
      </x:c>
      <x:c r="H4" t="n">
        <x:v>20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3</x:v>
      </x:c>
      <x:c r="E5" t="n">
        <x:v>9</x:v>
      </x:c>
      <x:c r="F5" t="n">
        <x:v>2</x:v>
      </x:c>
      <x:c r="G5" t="n">
        <x:v>5</x:v>
      </x:c>
      <x:c r="H5" t="n">
        <x:v>19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1018</x:v>
      </x:c>
      <x:c r="C2" t="n">
        <x:v>853</x:v>
      </x:c>
      <x:c r="D2" t="n">
        <x:f>C2-B2</x:f>
        <x:v>-165</x:v>
      </x:c>
      <x:c r="E2" t="n">
        <x:f>ABS(D2)</x:f>
        <x:v>165</x:v>
      </x:c>
      <x:c r="F2" s="22" t="n">
        <x:f>IFERROR(E2/C2,0)</x:f>
        <x:v>0.19343493552168817</x:v>
      </x:c>
      <x:c r="G2" t="str">
        <x:v>Formula columns should calculate error and accuracy</x:v>
      </x:c>
    </x:row>
    <x:row r="3">
      <x:c r="A3" t="n">
        <x:v>45505</x:v>
      </x:c>
      <x:c r="B3" t="n">
        <x:v>1022</x:v>
      </x:c>
      <x:c r="C3" t="n">
        <x:v>957</x:v>
      </x:c>
      <x:c r="D3" t="n">
        <x:f>C3-B3</x:f>
        <x:v>-65</x:v>
      </x:c>
      <x:c r="E3" t="n">
        <x:f>ABS(D3)</x:f>
        <x:v>65</x:v>
      </x:c>
      <x:c r="F3" s="22" t="n">
        <x:f>IFERROR(E3/C3,0)</x:f>
        <x:v>0.06792058516196448</x:v>
      </x:c>
      <x:c r="G3" t="str">
        <x:v>Formula columns should calculate error and accuracy</x:v>
      </x:c>
    </x:row>
    <x:row r="4">
      <x:c r="A4" t="n">
        <x:v>45536</x:v>
      </x:c>
      <x:c r="B4" t="n">
        <x:v>1246</x:v>
      </x:c>
      <x:c r="C4" t="n">
        <x:v>1340</x:v>
      </x:c>
      <x:c r="D4" t="n">
        <x:f>C4-B4</x:f>
        <x:v>94</x:v>
      </x:c>
      <x:c r="E4" t="n">
        <x:f>ABS(D4)</x:f>
        <x:v>94</x:v>
      </x:c>
      <x:c r="F4" s="22" t="n">
        <x:f>IFERROR(E4/C4,0)</x:f>
        <x:v>0.07014925373134329</x:v>
      </x:c>
      <x:c r="G4" t="str">
        <x:v>Formula columns should calculate error and accuracy</x:v>
      </x:c>
    </x:row>
    <x:row r="5">
      <x:c r="A5" t="n">
        <x:v>45566</x:v>
      </x:c>
      <x:c r="B5" t="n">
        <x:v>1225</x:v>
      </x:c>
      <x:c r="C5" t="n">
        <x:v>1055</x:v>
      </x:c>
      <x:c r="D5" t="n">
        <x:f>C5-B5</x:f>
        <x:v>-170</x:v>
      </x:c>
      <x:c r="E5" t="n">
        <x:f>ABS(D5)</x:f>
        <x:v>170</x:v>
      </x:c>
      <x:c r="F5" s="22" t="n">
        <x:f>IFERROR(E5/C5,0)</x:f>
        <x:v>0.16113744075829384</x:v>
      </x:c>
      <x:c r="G5" t="str">
        <x:v>Formula columns should calculate error and accuracy</x:v>
      </x:c>
    </x:row>
    <x:row r="6">
      <x:c r="A6" t="n">
        <x:v>45597</x:v>
      </x:c>
      <x:c r="B6" t="n">
        <x:v>1072</x:v>
      </x:c>
      <x:c r="C6" t="n">
        <x:v>1001</x:v>
      </x:c>
      <x:c r="D6" t="n">
        <x:f>C6-B6</x:f>
        <x:v>-71</x:v>
      </x:c>
      <x:c r="E6" t="n">
        <x:f>ABS(D6)</x:f>
        <x:v>71</x:v>
      </x:c>
      <x:c r="F6" s="22" t="n">
        <x:f>IFERROR(E6/C6,0)</x:f>
        <x:v>0.07092907092907093</x:v>
      </x:c>
      <x:c r="G6" t="str">
        <x:v>Formula columns should calculate error and accuracy</x:v>
      </x:c>
    </x:row>
    <x:row r="7">
      <x:c r="A7" t="n">
        <x:v>45627</x:v>
      </x:c>
      <x:c r="B7" t="n">
        <x:v>1205</x:v>
      </x:c>
      <x:c r="C7" t="n">
        <x:v>1152</x:v>
      </x:c>
      <x:c r="D7" t="n">
        <x:f>C7-B7</x:f>
        <x:v>-53</x:v>
      </x:c>
      <x:c r="E7" t="n">
        <x:f>ABS(D7)</x:f>
        <x:v>53</x:v>
      </x:c>
      <x:c r="F7" s="22" t="n">
        <x:f>IFERROR(E7/C7,0)</x:f>
        <x:v>0.04600694444444445</x:v>
      </x:c>
      <x:c r="G7" t="str">
        <x:v>Formula columns should calculate error and accuracy</x:v>
      </x:c>
    </x:row>
    <x:row r="8">
      <x:c r="A8" t="n">
        <x:v>45658</x:v>
      </x:c>
      <x:c r="B8" t="n">
        <x:v>1347</x:v>
      </x:c>
      <x:c r="C8" t="n">
        <x:v>1241</x:v>
      </x:c>
      <x:c r="D8" t="n">
        <x:f>C8-B8</x:f>
        <x:v>-106</x:v>
      </x:c>
      <x:c r="E8" t="n">
        <x:f>ABS(D8)</x:f>
        <x:v>106</x:v>
      </x:c>
      <x:c r="F8" s="22" t="n">
        <x:f>IFERROR(E8/C8,0)</x:f>
        <x:v>0.0854149879129734</x:v>
      </x:c>
      <x:c r="G8" t="str">
        <x:v>Formula columns should calculate error and accuracy</x:v>
      </x:c>
    </x:row>
    <x:row r="9">
      <x:c r="A9" t="n">
        <x:v>45689</x:v>
      </x:c>
      <x:c r="B9" t="n">
        <x:v>1345</x:v>
      </x:c>
      <x:c r="C9" t="n">
        <x:v>1164</x:v>
      </x:c>
      <x:c r="D9" t="n">
        <x:f>C9-B9</x:f>
        <x:v>-181</x:v>
      </x:c>
      <x:c r="E9" t="n">
        <x:f>ABS(D9)</x:f>
        <x:v>181</x:v>
      </x:c>
      <x:c r="F9" s="22" t="n">
        <x:f>IFERROR(E9/C9,0)</x:f>
        <x:v>0.15549828178694158</x:v>
      </x:c>
      <x:c r="G9" t="str">
        <x:v>Formula columns should calculate error and accuracy</x:v>
      </x:c>
    </x:row>
    <x:row r="10">
      <x:c r="A10" t="n">
        <x:v>45717</x:v>
      </x:c>
      <x:c r="B10" t="n">
        <x:v>1165</x:v>
      </x:c>
      <x:c r="C10" t="n">
        <x:v>1184</x:v>
      </x:c>
      <x:c r="D10" t="n">
        <x:f>C10-B10</x:f>
        <x:v>19</x:v>
      </x:c>
      <x:c r="E10" t="n">
        <x:f>ABS(D10)</x:f>
        <x:v>19</x:v>
      </x:c>
      <x:c r="F10" s="22" t="n">
        <x:f>IFERROR(E10/C10,0)</x:f>
        <x:v>0.016047297297297296</x:v>
      </x:c>
      <x:c r="G10" t="str">
        <x:v>Formula columns should calculate error and accuracy</x:v>
      </x:c>
    </x:row>
    <x:row r="11">
      <x:c r="A11" t="n">
        <x:v>45748</x:v>
      </x:c>
      <x:c r="B11" t="n">
        <x:v>1318</x:v>
      </x:c>
      <x:c r="C11" t="n">
        <x:v>1443</x:v>
      </x:c>
      <x:c r="D11" t="n">
        <x:f>C11-B11</x:f>
        <x:v>125</x:v>
      </x:c>
      <x:c r="E11" t="n">
        <x:f>ABS(D11)</x:f>
        <x:v>125</x:v>
      </x:c>
      <x:c r="F11" s="22" t="n">
        <x:f>IFERROR(E11/C11,0)</x:f>
        <x:v>0.08662508662508663</x:v>
      </x:c>
      <x:c r="G11" t="str">
        <x:v>Formula columns should calculate error and accuracy</x:v>
      </x:c>
    </x:row>
    <x:row r="12">
      <x:c r="A12" t="n">
        <x:v>45778</x:v>
      </x:c>
      <x:c r="B12" t="n">
        <x:v>1228</x:v>
      </x:c>
      <x:c r="C12" t="n">
        <x:v>1405</x:v>
      </x:c>
      <x:c r="D12" t="n">
        <x:f>C12-B12</x:f>
        <x:v>177</x:v>
      </x:c>
      <x:c r="E12" t="n">
        <x:f>ABS(D12)</x:f>
        <x:v>177</x:v>
      </x:c>
      <x:c r="F12" s="22" t="n">
        <x:f>IFERROR(E12/C12,0)</x:f>
        <x:v>0.12597864768683273</x:v>
      </x:c>
      <x:c r="G12" t="str">
        <x:v>Formula columns should calculate error and accuracy</x:v>
      </x:c>
    </x:row>
    <x:row r="13">
      <x:c r="A13" t="n">
        <x:v>45809</x:v>
      </x:c>
      <x:c r="B13" t="n">
        <x:v>1463</x:v>
      </x:c>
      <x:c r="C13" t="n">
        <x:v>1250</x:v>
      </x:c>
      <x:c r="D13" t="n">
        <x:f>C13-B13</x:f>
        <x:v>-213</x:v>
      </x:c>
      <x:c r="E13" t="n">
        <x:f>ABS(D13)</x:f>
        <x:v>213</x:v>
      </x:c>
      <x:c r="F13" s="22" t="n">
        <x:f>IFERROR(E13/C13,0)</x:f>
        <x:v>0.1704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68</x:v>
      </x:c>
      <x:c r="E2" t="n">
        <x:v>605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93</x:v>
      </x:c>
      <x:c r="E3" t="n">
        <x:v>980</x:v>
      </x:c>
      <x:c r="F3" t="str">
        <x:v>High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83</x:v>
      </x:c>
      <x:c r="E4" t="n">
        <x:v>1046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59</x:v>
      </x:c>
      <x:c r="E5" t="n">
        <x:v>738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69</x:v>
      </x:c>
      <x:c r="E6" t="n">
        <x:v>740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73</x:v>
      </x:c>
      <x:c r="E7" t="n">
        <x:v>722</x:v>
      </x:c>
      <x:c r="F7" t="str">
        <x:v>Medium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82</x:v>
      </x:c>
      <x:c r="E8" t="n">
        <x:v>1123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64</x:v>
      </x:c>
      <x:c r="E9" t="n">
        <x:v>728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Weekly</x:v>
      </x:c>
      <x:c r="E2" t="n">
        <x:v>2</x:v>
      </x:c>
      <x:c r="F2" t="n">
        <x:v>1423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4</x:v>
      </x:c>
      <x:c r="F3" t="n">
        <x:v>1994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3</x:v>
      </x:c>
      <x:c r="F4" t="n">
        <x:v>1473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3</x:v>
      </x:c>
      <x:c r="F5" t="n">
        <x:v>1251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Festival-based</x:v>
      </x:c>
      <x:c r="E6" t="n">
        <x:v>8</x:v>
      </x:c>
      <x:c r="F6" t="n">
        <x:v>4055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109</x:v>
      </x:c>
      <x:c r="F2" t="n">
        <x:v>84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92</x:v>
      </x:c>
      <x:c r="F3" t="n">
        <x:v>92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68</x:v>
      </x:c>
      <x:c r="F4" t="n">
        <x:v>72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12</x:v>
      </x:c>
      <x:c r="F5" t="n">
        <x:v>89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Moisturizing Cream Nivea Skin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Moisturizing Cream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Skin Care competitor pricing promotions Bangladesh Nivea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Moisturizing Cream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68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85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80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