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2e86f7a3a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50ebc5c55ef64bcb"/>
    <x:sheet xmlns:r="http://schemas.openxmlformats.org/officeDocument/2006/relationships" name="Historical_Sales" sheetId="2" r:id="R54438e6d63544d84"/>
    <x:sheet xmlns:r="http://schemas.openxmlformats.org/officeDocument/2006/relationships" name="Inventory" sheetId="3" r:id="Rcd34db057e6943ee"/>
    <x:sheet xmlns:r="http://schemas.openxmlformats.org/officeDocument/2006/relationships" name="Promotions" sheetId="4" r:id="R25c68941cb904d13"/>
    <x:sheet xmlns:r="http://schemas.openxmlformats.org/officeDocument/2006/relationships" name="Competitors" sheetId="5" r:id="Rbed8eafbcd6b40df"/>
    <x:sheet xmlns:r="http://schemas.openxmlformats.org/officeDocument/2006/relationships" name="Economic" sheetId="6" r:id="Rb47870077a62493e"/>
    <x:sheet xmlns:r="http://schemas.openxmlformats.org/officeDocument/2006/relationships" name="Lead_Time" sheetId="7" r:id="R9d282fa227634d26"/>
    <x:sheet xmlns:r="http://schemas.openxmlformats.org/officeDocument/2006/relationships" name="Forecast_Actual" sheetId="8" r:id="Rc8e98c048bc04d17"/>
    <x:sheet xmlns:r="http://schemas.openxmlformats.org/officeDocument/2006/relationships" name="Regional_Demand_Map" sheetId="9" r:id="Rd85b8e5d154349f2"/>
    <x:sheet xmlns:r="http://schemas.openxmlformats.org/officeDocument/2006/relationships" name="SCM_Flow_Map" sheetId="10" r:id="R43998ca015d44417"/>
    <x:sheet xmlns:r="http://schemas.openxmlformats.org/officeDocument/2006/relationships" name="Customer_Patterns" sheetId="11" r:id="Raf3222b4dd9343e2"/>
    <x:sheet xmlns:r="http://schemas.openxmlformats.org/officeDocument/2006/relationships" name="Technology_Data" sheetId="12" r:id="R4ae5bebc5c794ac8"/>
    <x:sheet xmlns:r="http://schemas.openxmlformats.org/officeDocument/2006/relationships" name="Web_Search_Seeds" sheetId="13" r:id="Re0fce9676fee48b9"/>
    <x:sheet xmlns:r="http://schemas.openxmlformats.org/officeDocument/2006/relationships" name="Manual_Expert_Opinion" sheetId="14" r:id="R724f537ee7024f5c"/>
    <x:sheet xmlns:r="http://schemas.openxmlformats.org/officeDocument/2006/relationships" name="Data_Issues" sheetId="15" r:id="R01d3f08811fe4e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c3801fc4f422f" /><Relationship Type="http://schemas.openxmlformats.org/officeDocument/2006/relationships/theme" Target="/xl/theme/theme1.xml" Id="Ra426f021c9c742ba" /><Relationship Type="http://schemas.openxmlformats.org/officeDocument/2006/relationships/sharedStrings" Target="/xl/sharedStrings.xml" Id="R2f870d1fa8b24f45" /><Relationship Type="http://schemas.openxmlformats.org/officeDocument/2006/relationships/worksheet" Target="/xl/worksheets/sheet1.xml" Id="R50ebc5c55ef64bcb" /><Relationship Type="http://schemas.openxmlformats.org/officeDocument/2006/relationships/worksheet" Target="/xl/worksheets/sheet2.xml" Id="R54438e6d63544d84" /><Relationship Type="http://schemas.openxmlformats.org/officeDocument/2006/relationships/worksheet" Target="/xl/worksheets/sheet3.xml" Id="Rcd34db057e6943ee" /><Relationship Type="http://schemas.openxmlformats.org/officeDocument/2006/relationships/worksheet" Target="/xl/worksheets/sheet4.xml" Id="R25c68941cb904d13" /><Relationship Type="http://schemas.openxmlformats.org/officeDocument/2006/relationships/worksheet" Target="/xl/worksheets/sheet5.xml" Id="Rbed8eafbcd6b40df" /><Relationship Type="http://schemas.openxmlformats.org/officeDocument/2006/relationships/worksheet" Target="/xl/worksheets/sheet6.xml" Id="Rb47870077a62493e" /><Relationship Type="http://schemas.openxmlformats.org/officeDocument/2006/relationships/worksheet" Target="/xl/worksheets/sheet7.xml" Id="R9d282fa227634d26" /><Relationship Type="http://schemas.openxmlformats.org/officeDocument/2006/relationships/worksheet" Target="/xl/worksheets/sheet8.xml" Id="Rc8e98c048bc04d17" /><Relationship Type="http://schemas.openxmlformats.org/officeDocument/2006/relationships/worksheet" Target="/xl/worksheets/sheet9.xml" Id="Rd85b8e5d154349f2" /><Relationship Type="http://schemas.openxmlformats.org/officeDocument/2006/relationships/worksheet" Target="/xl/worksheets/sheet10.xml" Id="R43998ca015d44417" /><Relationship Type="http://schemas.openxmlformats.org/officeDocument/2006/relationships/worksheet" Target="/xl/worksheets/sheet11.xml" Id="Raf3222b4dd9343e2" /><Relationship Type="http://schemas.openxmlformats.org/officeDocument/2006/relationships/worksheet" Target="/xl/worksheets/sheet12.xml" Id="R4ae5bebc5c794ac8" /><Relationship Type="http://schemas.openxmlformats.org/officeDocument/2006/relationships/worksheet" Target="/xl/worksheets/sheet13.xml" Id="Re0fce9676fee48b9" /><Relationship Type="http://schemas.openxmlformats.org/officeDocument/2006/relationships/worksheet" Target="/xl/worksheets/sheet14.xml" Id="R724f537ee7024f5c" /><Relationship Type="http://schemas.openxmlformats.org/officeDocument/2006/relationships/worksheet" Target="/xl/worksheets/sheet15.xml" Id="R01d3f08811fe4e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DPF-12</x:v>
      </x:c>
    </x:row>
    <x:row r="3">
      <x:c r="A3" t="str">
        <x:v>Scenario Title</x:v>
      </x:c>
      <x:c r="B3" t="str">
        <x:v>Overstock Risk</x:v>
      </x:c>
    </x:row>
    <x:row r="4">
      <x:c r="A4" t="str">
        <x:v>Purpose</x:v>
      </x:c>
      <x:c r="B4" t="str">
        <x:v>Test overstock and holding-cost recommendation.</x:v>
      </x:c>
    </x:row>
    <x:row r="5">
      <x:c r="A5" t="str">
        <x:v>Product Name</x:v>
      </x:c>
      <x:c r="B5" t="str">
        <x:v>Formal Shirt</x:v>
      </x:c>
    </x:row>
    <x:row r="6">
      <x:c r="A6" t="str">
        <x:v>Category</x:v>
      </x:c>
      <x:c r="B6" t="str">
        <x:v>Clothing</x:v>
      </x:c>
    </x:row>
    <x:row r="7">
      <x:c r="A7" t="str">
        <x:v>Brand</x:v>
      </x:c>
      <x:c r="B7" t="str">
        <x:v>Aarong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Inventory, Historical Sales</x:v>
      </x:c>
    </x:row>
    <x:row r="11">
      <x:c r="A11" t="str">
        <x:v>Recommended Inputs To Tick</x:v>
      </x:c>
      <x:c r="B11" t="str">
        <x:v>Inventory Levels, Historical Sales Data</x:v>
      </x:c>
    </x:row>
    <x:row r="12">
      <x:c r="A12" t="str">
        <x:v>Recommended Outputs To Tick</x:v>
      </x:c>
      <x:c r="B12" t="str">
        <x:v>Inventory Requirement, Final SCM Recommendation, Risk Alerts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Formal Shirt</x:v>
      </x:c>
      <x:c r="C2" t="str">
        <x:v>Clothing</x:v>
      </x:c>
      <x:c r="D2" t="str">
        <x:v>Aarong</x:v>
      </x:c>
      <x:c r="E2" t="str">
        <x:v>Dhaka</x:v>
      </x:c>
      <x:c r="F2" t="str">
        <x:v>Retail</x:v>
      </x:c>
      <x:c r="G2" t="n">
        <x:v>752</x:v>
      </x:c>
      <x:c r="H2" t="n">
        <x:v>2100</x:v>
      </x:c>
      <x:c r="I2" t="n">
        <x:v>1579200</x:v>
      </x:c>
      <x:c r="J2" t="str"/>
    </x:row>
    <x:row r="3">
      <x:c r="A3" t="n">
        <x:v>45323</x:v>
      </x:c>
      <x:c r="B3" t="str">
        <x:v>Formal Shirt</x:v>
      </x:c>
      <x:c r="C3" t="str">
        <x:v>Clothing</x:v>
      </x:c>
      <x:c r="D3" t="str">
        <x:v>Aarong</x:v>
      </x:c>
      <x:c r="E3" t="str">
        <x:v>Chattogram</x:v>
      </x:c>
      <x:c r="F3" t="str">
        <x:v>Online</x:v>
      </x:c>
      <x:c r="G3" t="n">
        <x:v>703</x:v>
      </x:c>
      <x:c r="H3" t="n">
        <x:v>2100</x:v>
      </x:c>
      <x:c r="I3" t="n">
        <x:v>1476300</x:v>
      </x:c>
      <x:c r="J3" t="str"/>
    </x:row>
    <x:row r="4">
      <x:c r="A4" t="n">
        <x:v>45352</x:v>
      </x:c>
      <x:c r="B4" t="str">
        <x:v>Formal Shirt</x:v>
      </x:c>
      <x:c r="C4" t="str">
        <x:v>Clothing</x:v>
      </x:c>
      <x:c r="D4" t="str">
        <x:v>Aarong</x:v>
      </x:c>
      <x:c r="E4" t="str">
        <x:v>Sylhet</x:v>
      </x:c>
      <x:c r="F4" t="str">
        <x:v>Wholesale</x:v>
      </x:c>
      <x:c r="G4" t="n">
        <x:v>723</x:v>
      </x:c>
      <x:c r="H4" t="n">
        <x:v>2100</x:v>
      </x:c>
      <x:c r="I4" t="n">
        <x:v>1518300</x:v>
      </x:c>
      <x:c r="J4" t="str"/>
    </x:row>
    <x:row r="5">
      <x:c r="A5" t="n">
        <x:v>45383</x:v>
      </x:c>
      <x:c r="B5" t="str">
        <x:v>Formal Shirt</x:v>
      </x:c>
      <x:c r="C5" t="str">
        <x:v>Clothing</x:v>
      </x:c>
      <x:c r="D5" t="str">
        <x:v>Aarong</x:v>
      </x:c>
      <x:c r="E5" t="str">
        <x:v>Rajshahi</x:v>
      </x:c>
      <x:c r="F5" t="str">
        <x:v>Modern Trade</x:v>
      </x:c>
      <x:c r="G5" t="n">
        <x:v>724</x:v>
      </x:c>
      <x:c r="H5" t="n">
        <x:v>2100</x:v>
      </x:c>
      <x:c r="I5" t="n">
        <x:v>1520400</x:v>
      </x:c>
      <x:c r="J5" t="str"/>
    </x:row>
    <x:row r="6">
      <x:c r="A6" t="n">
        <x:v>45413</x:v>
      </x:c>
      <x:c r="B6" t="str">
        <x:v>Formal Shirt</x:v>
      </x:c>
      <x:c r="C6" t="str">
        <x:v>Clothing</x:v>
      </x:c>
      <x:c r="D6" t="str">
        <x:v>Aarong</x:v>
      </x:c>
      <x:c r="E6" t="str">
        <x:v>Khulna</x:v>
      </x:c>
      <x:c r="F6" t="str">
        <x:v>Retail</x:v>
      </x:c>
      <x:c r="G6" t="n">
        <x:v>663</x:v>
      </x:c>
      <x:c r="H6" t="n">
        <x:v>2100</x:v>
      </x:c>
      <x:c r="I6" t="n">
        <x:v>1392300</x:v>
      </x:c>
      <x:c r="J6" t="str"/>
    </x:row>
    <x:row r="7">
      <x:c r="A7" t="n">
        <x:v>45444</x:v>
      </x:c>
      <x:c r="B7" t="str">
        <x:v>Formal Shirt</x:v>
      </x:c>
      <x:c r="C7" t="str">
        <x:v>Clothing</x:v>
      </x:c>
      <x:c r="D7" t="str">
        <x:v>Aarong</x:v>
      </x:c>
      <x:c r="E7" t="str">
        <x:v>Barishal</x:v>
      </x:c>
      <x:c r="F7" t="str">
        <x:v>Online</x:v>
      </x:c>
      <x:c r="G7" t="n">
        <x:v>746</x:v>
      </x:c>
      <x:c r="H7" t="n">
        <x:v>2100</x:v>
      </x:c>
      <x:c r="I7" t="n">
        <x:v>1566600</x:v>
      </x:c>
      <x:c r="J7" t="str"/>
    </x:row>
    <x:row r="8">
      <x:c r="A8" t="n">
        <x:v>45474</x:v>
      </x:c>
      <x:c r="B8" t="str">
        <x:v>Formal Shirt</x:v>
      </x:c>
      <x:c r="C8" t="str">
        <x:v>Clothing</x:v>
      </x:c>
      <x:c r="D8" t="str">
        <x:v>Aarong</x:v>
      </x:c>
      <x:c r="E8" t="str">
        <x:v>Rangpur</x:v>
      </x:c>
      <x:c r="F8" t="str">
        <x:v>Wholesale</x:v>
      </x:c>
      <x:c r="G8" t="n">
        <x:v>819</x:v>
      </x:c>
      <x:c r="H8" t="n">
        <x:v>2100</x:v>
      </x:c>
      <x:c r="I8" t="n">
        <x:v>1719900</x:v>
      </x:c>
      <x:c r="J8" t="str"/>
    </x:row>
    <x:row r="9">
      <x:c r="A9" t="n">
        <x:v>45505</x:v>
      </x:c>
      <x:c r="B9" t="str">
        <x:v>Formal Shirt</x:v>
      </x:c>
      <x:c r="C9" t="str">
        <x:v>Clothing</x:v>
      </x:c>
      <x:c r="D9" t="str">
        <x:v>Aarong</x:v>
      </x:c>
      <x:c r="E9" t="str">
        <x:v>Mymensingh</x:v>
      </x:c>
      <x:c r="F9" t="str">
        <x:v>Modern Trade</x:v>
      </x:c>
      <x:c r="G9" t="n">
        <x:v>815</x:v>
      </x:c>
      <x:c r="H9" t="n">
        <x:v>2100</x:v>
      </x:c>
      <x:c r="I9" t="n">
        <x:v>1711500</x:v>
      </x:c>
      <x:c r="J9" t="str"/>
    </x:row>
    <x:row r="10">
      <x:c r="A10" t="n">
        <x:v>45536</x:v>
      </x:c>
      <x:c r="B10" t="str">
        <x:v>Formal Shirt</x:v>
      </x:c>
      <x:c r="C10" t="str">
        <x:v>Clothing</x:v>
      </x:c>
      <x:c r="D10" t="str">
        <x:v>Aarong</x:v>
      </x:c>
      <x:c r="E10" t="str">
        <x:v>Dhaka</x:v>
      </x:c>
      <x:c r="F10" t="str">
        <x:v>Retail</x:v>
      </x:c>
      <x:c r="G10" t="n">
        <x:v>764</x:v>
      </x:c>
      <x:c r="H10" t="n">
        <x:v>2100</x:v>
      </x:c>
      <x:c r="I10" t="n">
        <x:v>1604400</x:v>
      </x:c>
      <x:c r="J10" t="str"/>
    </x:row>
    <x:row r="11">
      <x:c r="A11" t="n">
        <x:v>45566</x:v>
      </x:c>
      <x:c r="B11" t="str">
        <x:v>Formal Shirt</x:v>
      </x:c>
      <x:c r="C11" t="str">
        <x:v>Clothing</x:v>
      </x:c>
      <x:c r="D11" t="str">
        <x:v>Aarong</x:v>
      </x:c>
      <x:c r="E11" t="str">
        <x:v>Chattogram</x:v>
      </x:c>
      <x:c r="F11" t="str">
        <x:v>Online</x:v>
      </x:c>
      <x:c r="G11" t="n">
        <x:v>855</x:v>
      </x:c>
      <x:c r="H11" t="n">
        <x:v>2100</x:v>
      </x:c>
      <x:c r="I11" t="n">
        <x:v>1795500</x:v>
      </x:c>
      <x:c r="J11" t="str"/>
    </x:row>
    <x:row r="12">
      <x:c r="A12" t="n">
        <x:v>45597</x:v>
      </x:c>
      <x:c r="B12" t="str">
        <x:v>Formal Shirt</x:v>
      </x:c>
      <x:c r="C12" t="str">
        <x:v>Clothing</x:v>
      </x:c>
      <x:c r="D12" t="str">
        <x:v>Aarong</x:v>
      </x:c>
      <x:c r="E12" t="str">
        <x:v>Sylhet</x:v>
      </x:c>
      <x:c r="F12" t="str">
        <x:v>Wholesale</x:v>
      </x:c>
      <x:c r="G12" t="n">
        <x:v>852</x:v>
      </x:c>
      <x:c r="H12" t="n">
        <x:v>2100</x:v>
      </x:c>
      <x:c r="I12" t="n">
        <x:v>1789200</x:v>
      </x:c>
      <x:c r="J12" t="str"/>
    </x:row>
    <x:row r="13">
      <x:c r="A13" t="n">
        <x:v>45627</x:v>
      </x:c>
      <x:c r="B13" t="str">
        <x:v>Formal Shirt</x:v>
      </x:c>
      <x:c r="C13" t="str">
        <x:v>Clothing</x:v>
      </x:c>
      <x:c r="D13" t="str">
        <x:v>Aarong</x:v>
      </x:c>
      <x:c r="E13" t="str">
        <x:v>Rajshahi</x:v>
      </x:c>
      <x:c r="F13" t="str">
        <x:v>Modern Trade</x:v>
      </x:c>
      <x:c r="G13" t="n">
        <x:v>831</x:v>
      </x:c>
      <x:c r="H13" t="n">
        <x:v>2100</x:v>
      </x:c>
      <x:c r="I13" t="n">
        <x:v>1745100</x:v>
      </x:c>
      <x:c r="J13" t="str"/>
    </x:row>
    <x:row r="14">
      <x:c r="A14" t="n">
        <x:v>45658</x:v>
      </x:c>
      <x:c r="B14" t="str">
        <x:v>Formal Shirt</x:v>
      </x:c>
      <x:c r="C14" t="str">
        <x:v>Clothing</x:v>
      </x:c>
      <x:c r="D14" t="str">
        <x:v>Aarong</x:v>
      </x:c>
      <x:c r="E14" t="str">
        <x:v>Khulna</x:v>
      </x:c>
      <x:c r="F14" t="str">
        <x:v>Retail</x:v>
      </x:c>
      <x:c r="G14" t="n">
        <x:v>736</x:v>
      </x:c>
      <x:c r="H14" t="n">
        <x:v>2100</x:v>
      </x:c>
      <x:c r="I14" t="n">
        <x:v>1545600</x:v>
      </x:c>
      <x:c r="J14" t="str"/>
    </x:row>
    <x:row r="15">
      <x:c r="A15" t="n">
        <x:v>45689</x:v>
      </x:c>
      <x:c r="B15" t="str">
        <x:v>Formal Shirt</x:v>
      </x:c>
      <x:c r="C15" t="str">
        <x:v>Clothing</x:v>
      </x:c>
      <x:c r="D15" t="str">
        <x:v>Aarong</x:v>
      </x:c>
      <x:c r="E15" t="str">
        <x:v>Barishal</x:v>
      </x:c>
      <x:c r="F15" t="str">
        <x:v>Online</x:v>
      </x:c>
      <x:c r="G15" t="n">
        <x:v>805</x:v>
      </x:c>
      <x:c r="H15" t="n">
        <x:v>2100</x:v>
      </x:c>
      <x:c r="I15" t="n">
        <x:v>1690500</x:v>
      </x:c>
      <x:c r="J15" t="str"/>
    </x:row>
    <x:row r="16">
      <x:c r="A16" t="n">
        <x:v>45717</x:v>
      </x:c>
      <x:c r="B16" t="str">
        <x:v>Formal Shirt</x:v>
      </x:c>
      <x:c r="C16" t="str">
        <x:v>Clothing</x:v>
      </x:c>
      <x:c r="D16" t="str">
        <x:v>Aarong</x:v>
      </x:c>
      <x:c r="E16" t="str">
        <x:v>Rangpur</x:v>
      </x:c>
      <x:c r="F16" t="str">
        <x:v>Wholesale</x:v>
      </x:c>
      <x:c r="G16" t="n">
        <x:v>758</x:v>
      </x:c>
      <x:c r="H16" t="n">
        <x:v>2100</x:v>
      </x:c>
      <x:c r="I16" t="n">
        <x:v>1591800</x:v>
      </x:c>
      <x:c r="J16" t="str"/>
    </x:row>
    <x:row r="17">
      <x:c r="A17" t="n">
        <x:v>45748</x:v>
      </x:c>
      <x:c r="B17" t="str">
        <x:v>Formal Shirt</x:v>
      </x:c>
      <x:c r="C17" t="str">
        <x:v>Clothing</x:v>
      </x:c>
      <x:c r="D17" t="str">
        <x:v>Aarong</x:v>
      </x:c>
      <x:c r="E17" t="str">
        <x:v>Mymensingh</x:v>
      </x:c>
      <x:c r="F17" t="str">
        <x:v>Modern Trade</x:v>
      </x:c>
      <x:c r="G17" t="n">
        <x:v>959</x:v>
      </x:c>
      <x:c r="H17" t="n">
        <x:v>2100</x:v>
      </x:c>
      <x:c r="I17" t="n">
        <x:v>2013900</x:v>
      </x:c>
      <x:c r="J17" t="str"/>
    </x:row>
    <x:row r="18">
      <x:c r="A18" t="n">
        <x:v>45778</x:v>
      </x:c>
      <x:c r="B18" t="str">
        <x:v>Formal Shirt</x:v>
      </x:c>
      <x:c r="C18" t="str">
        <x:v>Clothing</x:v>
      </x:c>
      <x:c r="D18" t="str">
        <x:v>Aarong</x:v>
      </x:c>
      <x:c r="E18" t="str">
        <x:v>Dhaka</x:v>
      </x:c>
      <x:c r="F18" t="str">
        <x:v>Retail</x:v>
      </x:c>
      <x:c r="G18" t="n">
        <x:v>959</x:v>
      </x:c>
      <x:c r="H18" t="n">
        <x:v>2100</x:v>
      </x:c>
      <x:c r="I18" t="n">
        <x:v>2013900</x:v>
      </x:c>
      <x:c r="J18" t="str"/>
    </x:row>
    <x:row r="19">
      <x:c r="A19" t="n">
        <x:v>45809</x:v>
      </x:c>
      <x:c r="B19" t="str">
        <x:v>Formal Shirt</x:v>
      </x:c>
      <x:c r="C19" t="str">
        <x:v>Clothing</x:v>
      </x:c>
      <x:c r="D19" t="str">
        <x:v>Aarong</x:v>
      </x:c>
      <x:c r="E19" t="str">
        <x:v>Chattogram</x:v>
      </x:c>
      <x:c r="F19" t="str">
        <x:v>Online</x:v>
      </x:c>
      <x:c r="G19" t="n">
        <x:v>788</x:v>
      </x:c>
      <x:c r="H19" t="n">
        <x:v>2100</x:v>
      </x:c>
      <x:c r="I19" t="n">
        <x:v>1654800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AAR-DPF-12-01</x:v>
      </x:c>
      <x:c r="B2" t="str">
        <x:v>Formal Shirt</x:v>
      </x:c>
      <x:c r="C2" t="str">
        <x:v>Clothing</x:v>
      </x:c>
      <x:c r="D2" t="str">
        <x:v>Aarong</x:v>
      </x:c>
      <x:c r="E2" t="str">
        <x:v>Dhaka</x:v>
      </x:c>
      <x:c r="F2" t="str">
        <x:v>Dhaka DC</x:v>
      </x:c>
      <x:c r="G2" t="n">
        <x:v>5627</x:v>
      </x:c>
      <x:c r="H2" t="n">
        <x:v>552</x:v>
      </x:c>
      <x:c r="I2" t="n">
        <x:v>1358</x:v>
      </x:c>
      <x:c r="J2" t="n">
        <x:v>496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AAR-DPF-12-02</x:v>
      </x:c>
      <x:c r="B3" t="str">
        <x:v>Formal Shirt</x:v>
      </x:c>
      <x:c r="C3" t="str">
        <x:v>Clothing</x:v>
      </x:c>
      <x:c r="D3" t="str">
        <x:v>Aarong</x:v>
      </x:c>
      <x:c r="E3" t="str">
        <x:v>Chattogram</x:v>
      </x:c>
      <x:c r="F3" t="str">
        <x:v>Chattogram DC</x:v>
      </x:c>
      <x:c r="G3" t="n">
        <x:v>3688</x:v>
      </x:c>
      <x:c r="H3" t="n">
        <x:v>618</x:v>
      </x:c>
      <x:c r="I3" t="n">
        <x:v>1313</x:v>
      </x:c>
      <x:c r="J3" t="n">
        <x:v>621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AAR-DPF-12-03</x:v>
      </x:c>
      <x:c r="B4" t="str">
        <x:v>Formal Shirt</x:v>
      </x:c>
      <x:c r="C4" t="str">
        <x:v>Clothing</x:v>
      </x:c>
      <x:c r="D4" t="str">
        <x:v>Aarong</x:v>
      </x:c>
      <x:c r="E4" t="str">
        <x:v>Sylhet</x:v>
      </x:c>
      <x:c r="F4" t="str">
        <x:v>Sylhet DC</x:v>
      </x:c>
      <x:c r="G4" t="n">
        <x:v>1975</x:v>
      </x:c>
      <x:c r="H4" t="n">
        <x:v>679</x:v>
      </x:c>
      <x:c r="I4" t="n">
        <x:v>1529</x:v>
      </x:c>
      <x:c r="J4" t="n">
        <x:v>282</x:v>
      </x:c>
      <x:c r="K4" t="n">
        <x:v>120</x:v>
      </x:c>
      <x:c r="L4" t="n">
        <x:v>45674</x:v>
      </x:c>
      <x:c r="M4" t="str">
        <x:v>OK</x:v>
      </x:c>
    </x:row>
    <x:row r="5">
      <x:c r="A5" t="str">
        <x:v>AAR-DPF-12-04</x:v>
      </x:c>
      <x:c r="B5" t="str">
        <x:v>Formal Shirt</x:v>
      </x:c>
      <x:c r="C5" t="str">
        <x:v>Clothing</x:v>
      </x:c>
      <x:c r="D5" t="str">
        <x:v>Aarong</x:v>
      </x:c>
      <x:c r="E5" t="str">
        <x:v>Rajshahi</x:v>
      </x:c>
      <x:c r="F5" t="str">
        <x:v>Rajshahi DC</x:v>
      </x:c>
      <x:c r="G5" t="n">
        <x:v>8147</x:v>
      </x:c>
      <x:c r="H5" t="n">
        <x:v>588</x:v>
      </x:c>
      <x:c r="I5" t="n">
        <x:v>1357</x:v>
      </x:c>
      <x:c r="J5" t="n">
        <x:v>266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AAR-DPF-12-05</x:v>
      </x:c>
      <x:c r="B6" t="str">
        <x:v>Formal Shirt</x:v>
      </x:c>
      <x:c r="C6" t="str">
        <x:v>Clothing</x:v>
      </x:c>
      <x:c r="D6" t="str">
        <x:v>Aarong</x:v>
      </x:c>
      <x:c r="E6" t="str">
        <x:v>Khulna</x:v>
      </x:c>
      <x:c r="F6" t="str">
        <x:v>Khulna DC</x:v>
      </x:c>
      <x:c r="G6" t="n">
        <x:v>1388</x:v>
      </x:c>
      <x:c r="H6" t="n">
        <x:v>588</x:v>
      </x:c>
      <x:c r="I6" t="n">
        <x:v>1317</x:v>
      </x:c>
      <x:c r="J6" t="n">
        <x:v>475</x:v>
      </x:c>
      <x:c r="K6" t="n">
        <x:v>120</x:v>
      </x:c>
      <x:c r="L6" t="n">
        <x:v>45676</x:v>
      </x:c>
      <x:c r="M6" t="str">
        <x:v>OK</x:v>
      </x:c>
    </x:row>
    <x:row r="7">
      <x:c r="A7" t="str">
        <x:v>AAR-DPF-12-06</x:v>
      </x:c>
      <x:c r="B7" t="str">
        <x:v>Formal Shirt</x:v>
      </x:c>
      <x:c r="C7" t="str">
        <x:v>Clothing</x:v>
      </x:c>
      <x:c r="D7" t="str">
        <x:v>Aarong</x:v>
      </x:c>
      <x:c r="E7" t="str">
        <x:v>Barishal</x:v>
      </x:c>
      <x:c r="F7" t="str">
        <x:v>Barishal DC</x:v>
      </x:c>
      <x:c r="G7" t="n">
        <x:v>1515</x:v>
      </x:c>
      <x:c r="H7" t="n">
        <x:v>441</x:v>
      </x:c>
      <x:c r="I7" t="n">
        <x:v>1008</x:v>
      </x:c>
      <x:c r="J7" t="n">
        <x:v>239</x:v>
      </x:c>
      <x:c r="K7" t="n">
        <x:v>120</x:v>
      </x:c>
      <x:c r="L7" t="n">
        <x:v>45677</x:v>
      </x:c>
      <x:c r="M7" t="str">
        <x:v>OK</x:v>
      </x:c>
    </x:row>
    <x:row r="8">
      <x:c r="A8" t="str">
        <x:v>AAR-DPF-12-07</x:v>
      </x:c>
      <x:c r="B8" t="str">
        <x:v>Formal Shirt</x:v>
      </x:c>
      <x:c r="C8" t="str">
        <x:v>Clothing</x:v>
      </x:c>
      <x:c r="D8" t="str">
        <x:v>Aarong</x:v>
      </x:c>
      <x:c r="E8" t="str">
        <x:v>Rangpur</x:v>
      </x:c>
      <x:c r="F8" t="str">
        <x:v>Rangpur DC</x:v>
      </x:c>
      <x:c r="G8" t="n">
        <x:v>7678</x:v>
      </x:c>
      <x:c r="H8" t="n">
        <x:v>586</x:v>
      </x:c>
      <x:c r="I8" t="n">
        <x:v>1409</x:v>
      </x:c>
      <x:c r="J8" t="n">
        <x:v>211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AAR-DPF-12-08</x:v>
      </x:c>
      <x:c r="B9" t="str">
        <x:v>Formal Shirt</x:v>
      </x:c>
      <x:c r="C9" t="str">
        <x:v>Clothing</x:v>
      </x:c>
      <x:c r="D9" t="str">
        <x:v>Aarong</x:v>
      </x:c>
      <x:c r="E9" t="str">
        <x:v>Mymensingh</x:v>
      </x:c>
      <x:c r="F9" t="str">
        <x:v>Mymensingh DC</x:v>
      </x:c>
      <x:c r="G9" t="n">
        <x:v>1870</x:v>
      </x:c>
      <x:c r="H9" t="n">
        <x:v>516</x:v>
      </x:c>
      <x:c r="I9" t="n">
        <x:v>1376</x:v>
      </x:c>
      <x:c r="J9" t="n">
        <x:v>474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13.4</x:v>
      </x:c>
      <x:c r="G2" t="n">
        <x:v>15.2</x:v>
      </x:c>
      <x:c r="H2" t="n">
        <x:v>107732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31.8</x:v>
      </x:c>
      <x:c r="G3" t="n">
        <x:v>37.5</x:v>
      </x:c>
      <x:c r="H3" t="n">
        <x:v>71408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18.1</x:v>
      </x:c>
      <x:c r="G4" t="n">
        <x:v>12.9</x:v>
      </x:c>
      <x:c r="H4" t="n">
        <x:v>73022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16</x:v>
      </x:c>
      <x:c r="G5" t="n">
        <x:v>17.1</x:v>
      </x:c>
      <x:c r="H5" t="n">
        <x:v>74381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Clothing</x:v>
      </x:c>
      <x:c r="E2" t="n">
        <x:v>2282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Clothing</x:v>
      </x:c>
      <x:c r="E3" t="n">
        <x:v>2026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Clothing</x:v>
      </x:c>
      <x:c r="E4" t="n">
        <x:v>1899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Clothing</x:v>
      </x:c>
      <x:c r="E5" t="n">
        <x:v>1886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7.72</x:v>
      </x:c>
      <x:c r="C2" t="n">
        <x:v>99.11</x:v>
      </x:c>
      <x:c r="D2" t="n">
        <x:v>86.61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7.89</x:v>
      </x:c>
      <x:c r="C3" t="n">
        <x:v>99.88</x:v>
      </x:c>
      <x:c r="D3" t="n">
        <x:v>86.54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8.43</x:v>
      </x:c>
      <x:c r="C4" t="n">
        <x:v>101.06</x:v>
      </x:c>
      <x:c r="D4" t="n">
        <x:v>85.99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8.4</x:v>
      </x:c>
      <x:c r="C5" t="n">
        <x:v>101.1</x:v>
      </x:c>
      <x:c r="D5" t="n">
        <x:v>86.05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8.77</x:v>
      </x:c>
      <x:c r="C6" t="n">
        <x:v>100.84</x:v>
      </x:c>
      <x:c r="D6" t="n">
        <x:v>85.34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8.58</x:v>
      </x:c>
      <x:c r="C7" t="n">
        <x:v>100.79</x:v>
      </x:c>
      <x:c r="D7" t="n">
        <x:v>85.66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8.69</x:v>
      </x:c>
      <x:c r="C8" t="n">
        <x:v>101.24</x:v>
      </x:c>
      <x:c r="D8" t="n">
        <x:v>85.6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8.25</x:v>
      </x:c>
      <x:c r="C9" t="n">
        <x:v>101.22</x:v>
      </x:c>
      <x:c r="D9" t="n">
        <x:v>86.34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8.32</x:v>
      </x:c>
      <x:c r="C10" t="n">
        <x:v>103.16</x:v>
      </x:c>
      <x:c r="D10" t="n">
        <x:v>86.81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7.92</x:v>
      </x:c>
      <x:c r="C11" t="n">
        <x:v>102.95</x:v>
      </x:c>
      <x:c r="D11" t="n">
        <x:v>87.43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7.23</x:v>
      </x:c>
      <x:c r="C12" t="n">
        <x:v>102.99</x:v>
      </x:c>
      <x:c r="D12" t="n">
        <x:v>88.61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7.18</x:v>
      </x:c>
      <x:c r="C13" t="n">
        <x:v>104.18</x:v>
      </x:c>
      <x:c r="D13" t="n">
        <x:v>89.05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6.69</x:v>
      </x:c>
      <x:c r="C14" t="n">
        <x:v>104.17</x:v>
      </x:c>
      <x:c r="D14" t="n">
        <x:v>89.87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6.28</x:v>
      </x:c>
      <x:c r="C15" t="n">
        <x:v>103.73</x:v>
      </x:c>
      <x:c r="D15" t="n">
        <x:v>90.45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6.09</x:v>
      </x:c>
      <x:c r="C16" t="n">
        <x:v>103.95</x:v>
      </x:c>
      <x:c r="D16" t="n">
        <x:v>90.83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6.5</x:v>
      </x:c>
      <x:c r="C17" t="n">
        <x:v>104.45</x:v>
      </x:c>
      <x:c r="D17" t="n">
        <x:v>90.28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6.73</x:v>
      </x:c>
      <x:c r="C18" t="n">
        <x:v>104.4</x:v>
      </x:c>
      <x:c r="D18" t="n">
        <x:v>89.87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6.93</x:v>
      </x:c>
      <x:c r="C19" t="n">
        <x:v>105.71</x:v>
      </x:c>
      <x:c r="D19" t="n">
        <x:v>89.93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2</x:v>
      </x:c>
      <x:c r="E2" t="n">
        <x:v>11</x:v>
      </x:c>
      <x:c r="F2" t="n">
        <x:v>8</x:v>
      </x:c>
      <x:c r="G2" t="n">
        <x:v>5</x:v>
      </x:c>
      <x:c r="H2" t="n">
        <x:v>26</x:v>
      </x:c>
      <x:c r="I2" t="str">
        <x:v>Yes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6</x:v>
      </x:c>
      <x:c r="E3" t="n">
        <x:v>7</x:v>
      </x:c>
      <x:c r="F3" t="n">
        <x:v>8</x:v>
      </x:c>
      <x:c r="G3" t="n">
        <x:v>2</x:v>
      </x:c>
      <x:c r="H3" t="n">
        <x:v>23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4</x:v>
      </x:c>
      <x:c r="E4" t="n">
        <x:v>8</x:v>
      </x:c>
      <x:c r="F4" t="n">
        <x:v>7</x:v>
      </x:c>
      <x:c r="G4" t="n">
        <x:v>1</x:v>
      </x:c>
      <x:c r="H4" t="n">
        <x:v>20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5</x:v>
      </x:c>
      <x:c r="E5" t="n">
        <x:v>10</x:v>
      </x:c>
      <x:c r="F5" t="n">
        <x:v>3</x:v>
      </x:c>
      <x:c r="G5" t="n">
        <x:v>5</x:v>
      </x:c>
      <x:c r="H5" t="n">
        <x:v>23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731</x:v>
      </x:c>
      <x:c r="C2" t="n">
        <x:v>655</x:v>
      </x:c>
      <x:c r="D2" t="n">
        <x:f>C2-B2</x:f>
        <x:v>-76</x:v>
      </x:c>
      <x:c r="E2" t="n">
        <x:f>ABS(D2)</x:f>
        <x:v>76</x:v>
      </x:c>
      <x:c r="F2" s="22" t="n">
        <x:f>IFERROR(E2/C2,0)</x:f>
        <x:v>0.11603053435114503</x:v>
      </x:c>
      <x:c r="G2" t="str">
        <x:v>Formula columns should calculate error and accuracy</x:v>
      </x:c>
    </x:row>
    <x:row r="3">
      <x:c r="A3" t="n">
        <x:v>45505</x:v>
      </x:c>
      <x:c r="B3" t="n">
        <x:v>681</x:v>
      </x:c>
      <x:c r="C3" t="n">
        <x:v>742</x:v>
      </x:c>
      <x:c r="D3" t="n">
        <x:f>C3-B3</x:f>
        <x:v>61</x:v>
      </x:c>
      <x:c r="E3" t="n">
        <x:f>ABS(D3)</x:f>
        <x:v>61</x:v>
      </x:c>
      <x:c r="F3" s="22" t="n">
        <x:f>IFERROR(E3/C3,0)</x:f>
        <x:v>0.08221024258760108</x:v>
      </x:c>
      <x:c r="G3" t="str">
        <x:v>Formula columns should calculate error and accuracy</x:v>
      </x:c>
    </x:row>
    <x:row r="4">
      <x:c r="A4" t="n">
        <x:v>45536</x:v>
      </x:c>
      <x:c r="B4" t="n">
        <x:v>743</x:v>
      </x:c>
      <x:c r="C4" t="n">
        <x:v>869</x:v>
      </x:c>
      <x:c r="D4" t="n">
        <x:f>C4-B4</x:f>
        <x:v>126</x:v>
      </x:c>
      <x:c r="E4" t="n">
        <x:f>ABS(D4)</x:f>
        <x:v>126</x:v>
      </x:c>
      <x:c r="F4" s="22" t="n">
        <x:f>IFERROR(E4/C4,0)</x:f>
        <x:v>0.14499424626006904</x:v>
      </x:c>
      <x:c r="G4" t="str">
        <x:v>Formula columns should calculate error and accuracy</x:v>
      </x:c>
    </x:row>
    <x:row r="5">
      <x:c r="A5" t="n">
        <x:v>45566</x:v>
      </x:c>
      <x:c r="B5" t="n">
        <x:v>696</x:v>
      </x:c>
      <x:c r="C5" t="n">
        <x:v>783</x:v>
      </x:c>
      <x:c r="D5" t="n">
        <x:f>C5-B5</x:f>
        <x:v>87</x:v>
      </x:c>
      <x:c r="E5" t="n">
        <x:f>ABS(D5)</x:f>
        <x:v>87</x:v>
      </x:c>
      <x:c r="F5" s="22" t="n">
        <x:f>IFERROR(E5/C5,0)</x:f>
        <x:v>0.1111111111111111</x:v>
      </x:c>
      <x:c r="G5" t="str">
        <x:v>Formula columns should calculate error and accuracy</x:v>
      </x:c>
    </x:row>
    <x:row r="6">
      <x:c r="A6" t="n">
        <x:v>45597</x:v>
      </x:c>
      <x:c r="B6" t="n">
        <x:v>790</x:v>
      </x:c>
      <x:c r="C6" t="n">
        <x:v>824</x:v>
      </x:c>
      <x:c r="D6" t="n">
        <x:f>C6-B6</x:f>
        <x:v>34</x:v>
      </x:c>
      <x:c r="E6" t="n">
        <x:f>ABS(D6)</x:f>
        <x:v>34</x:v>
      </x:c>
      <x:c r="F6" s="22" t="n">
        <x:f>IFERROR(E6/C6,0)</x:f>
        <x:v>0.0412621359223301</x:v>
      </x:c>
      <x:c r="G6" t="str">
        <x:v>Formula columns should calculate error and accuracy</x:v>
      </x:c>
    </x:row>
    <x:row r="7">
      <x:c r="A7" t="n">
        <x:v>45627</x:v>
      </x:c>
      <x:c r="B7" t="n">
        <x:v>767</x:v>
      </x:c>
      <x:c r="C7" t="n">
        <x:v>896</x:v>
      </x:c>
      <x:c r="D7" t="n">
        <x:f>C7-B7</x:f>
        <x:v>129</x:v>
      </x:c>
      <x:c r="E7" t="n">
        <x:f>ABS(D7)</x:f>
        <x:v>129</x:v>
      </x:c>
      <x:c r="F7" s="22" t="n">
        <x:f>IFERROR(E7/C7,0)</x:f>
        <x:v>0.14397321428571427</x:v>
      </x:c>
      <x:c r="G7" t="str">
        <x:v>Formula columns should calculate error and accuracy</x:v>
      </x:c>
    </x:row>
    <x:row r="8">
      <x:c r="A8" t="n">
        <x:v>45658</x:v>
      </x:c>
      <x:c r="B8" t="n">
        <x:v>758</x:v>
      </x:c>
      <x:c r="C8" t="n">
        <x:v>912</x:v>
      </x:c>
      <x:c r="D8" t="n">
        <x:f>C8-B8</x:f>
        <x:v>154</x:v>
      </x:c>
      <x:c r="E8" t="n">
        <x:f>ABS(D8)</x:f>
        <x:v>154</x:v>
      </x:c>
      <x:c r="F8" s="22" t="n">
        <x:f>IFERROR(E8/C8,0)</x:f>
        <x:v>0.16885964912280702</x:v>
      </x:c>
      <x:c r="G8" t="str">
        <x:v>Formula columns should calculate error and accuracy</x:v>
      </x:c>
    </x:row>
    <x:row r="9">
      <x:c r="A9" t="n">
        <x:v>45689</x:v>
      </x:c>
      <x:c r="B9" t="n">
        <x:v>721</x:v>
      </x:c>
      <x:c r="C9" t="n">
        <x:v>861</x:v>
      </x:c>
      <x:c r="D9" t="n">
        <x:f>C9-B9</x:f>
        <x:v>140</x:v>
      </x:c>
      <x:c r="E9" t="n">
        <x:f>ABS(D9)</x:f>
        <x:v>140</x:v>
      </x:c>
      <x:c r="F9" s="22" t="n">
        <x:f>IFERROR(E9/C9,0)</x:f>
        <x:v>0.16260162601626016</x:v>
      </x:c>
      <x:c r="G9" t="str">
        <x:v>Formula columns should calculate error and accuracy</x:v>
      </x:c>
    </x:row>
    <x:row r="10">
      <x:c r="A10" t="n">
        <x:v>45717</x:v>
      </x:c>
      <x:c r="B10" t="n">
        <x:v>887</x:v>
      </x:c>
      <x:c r="C10" t="n">
        <x:v>769</x:v>
      </x:c>
      <x:c r="D10" t="n">
        <x:f>C10-B10</x:f>
        <x:v>-118</x:v>
      </x:c>
      <x:c r="E10" t="n">
        <x:f>ABS(D10)</x:f>
        <x:v>118</x:v>
      </x:c>
      <x:c r="F10" s="22" t="n">
        <x:f>IFERROR(E10/C10,0)</x:f>
        <x:v>0.15344603381014305</x:v>
      </x:c>
      <x:c r="G10" t="str">
        <x:v>Formula columns should calculate error and accuracy</x:v>
      </x:c>
    </x:row>
    <x:row r="11">
      <x:c r="A11" t="n">
        <x:v>45748</x:v>
      </x:c>
      <x:c r="B11" t="n">
        <x:v>909</x:v>
      </x:c>
      <x:c r="C11" t="n">
        <x:v>920</x:v>
      </x:c>
      <x:c r="D11" t="n">
        <x:f>C11-B11</x:f>
        <x:v>11</x:v>
      </x:c>
      <x:c r="E11" t="n">
        <x:f>ABS(D11)</x:f>
        <x:v>11</x:v>
      </x:c>
      <x:c r="F11" s="22" t="n">
        <x:f>IFERROR(E11/C11,0)</x:f>
        <x:v>0.011956521739130435</x:v>
      </x:c>
      <x:c r="G11" t="str">
        <x:v>Formula columns should calculate error and accuracy</x:v>
      </x:c>
    </x:row>
    <x:row r="12">
      <x:c r="A12" t="n">
        <x:v>45778</x:v>
      </x:c>
      <x:c r="B12" t="n">
        <x:v>797</x:v>
      </x:c>
      <x:c r="C12" t="n">
        <x:v>846</x:v>
      </x:c>
      <x:c r="D12" t="n">
        <x:f>C12-B12</x:f>
        <x:v>49</x:v>
      </x:c>
      <x:c r="E12" t="n">
        <x:f>ABS(D12)</x:f>
        <x:v>49</x:v>
      </x:c>
      <x:c r="F12" s="22" t="n">
        <x:f>IFERROR(E12/C12,0)</x:f>
        <x:v>0.057919621749408984</x:v>
      </x:c>
      <x:c r="G12" t="str">
        <x:v>Formula columns should calculate error and accuracy</x:v>
      </x:c>
    </x:row>
    <x:row r="13">
      <x:c r="A13" t="n">
        <x:v>45809</x:v>
      </x:c>
      <x:c r="B13" t="n">
        <x:v>804</x:v>
      </x:c>
      <x:c r="C13" t="n">
        <x:v>954</x:v>
      </x:c>
      <x:c r="D13" t="n">
        <x:f>C13-B13</x:f>
        <x:v>150</x:v>
      </x:c>
      <x:c r="E13" t="n">
        <x:f>ABS(D13)</x:f>
        <x:v>150</x:v>
      </x:c>
      <x:c r="F13" s="22" t="n">
        <x:f>IFERROR(E13/C13,0)</x:f>
        <x:v>0.15723270440251572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88</x:v>
      </x:c>
      <x:c r="E2" t="n">
        <x:v>561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63</x:v>
      </x:c>
      <x:c r="E3" t="n">
        <x:v>415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79</x:v>
      </x:c>
      <x:c r="E4" t="n">
        <x:v>594</x:v>
      </x:c>
      <x:c r="F4" t="str">
        <x:v>Medium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64</x:v>
      </x:c>
      <x:c r="E5" t="n">
        <x:v>395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77</x:v>
      </x:c>
      <x:c r="E6" t="n">
        <x:v>642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74</x:v>
      </x:c>
      <x:c r="E7" t="n">
        <x:v>414</x:v>
      </x:c>
      <x:c r="F7" t="str">
        <x:v>Medium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91</x:v>
      </x:c>
      <x:c r="E8" t="n">
        <x:v>627</x:v>
      </x:c>
      <x:c r="F8" t="str">
        <x:v>High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65</x:v>
      </x:c>
      <x:c r="E9" t="n">
        <x:v>549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Monthly</x:v>
      </x:c>
      <x:c r="E2" t="n">
        <x:v>6</x:v>
      </x:c>
      <x:c r="F2" t="n">
        <x:v>13209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3</x:v>
      </x:c>
      <x:c r="F3" t="n">
        <x:v>5101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Festival-based</x:v>
      </x:c>
      <x:c r="E4" t="n">
        <x:v>5</x:v>
      </x:c>
      <x:c r="F4" t="n">
        <x:v>9360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Monthly</x:v>
      </x:c>
      <x:c r="E5" t="n">
        <x:v>4</x:v>
      </x:c>
      <x:c r="F5" t="n">
        <x:v>8634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8</x:v>
      </x:c>
      <x:c r="F6" t="n">
        <x:v>18990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291</x:v>
      </x:c>
      <x:c r="F2" t="n">
        <x:v>96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106</x:v>
      </x:c>
      <x:c r="F3" t="n">
        <x:v>78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72</x:v>
      </x:c>
      <x:c r="F4" t="n">
        <x:v>93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25</x:v>
      </x:c>
      <x:c r="F5" t="n">
        <x:v>83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Formal Shirt Aarong Clothing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Formal Shirt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Clothing competitor pricing promotions Bangladesh Aarong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Formal Shirt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75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74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65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83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