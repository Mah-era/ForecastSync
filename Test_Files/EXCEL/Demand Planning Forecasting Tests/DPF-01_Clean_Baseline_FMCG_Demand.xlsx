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67a5f77af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7207206345654b8b"/>
    <x:sheet xmlns:r="http://schemas.openxmlformats.org/officeDocument/2006/relationships" name="Historical_Sales" sheetId="2" r:id="R521d21f5a8c14fc4"/>
    <x:sheet xmlns:r="http://schemas.openxmlformats.org/officeDocument/2006/relationships" name="Inventory" sheetId="3" r:id="R171f55b55555486e"/>
    <x:sheet xmlns:r="http://schemas.openxmlformats.org/officeDocument/2006/relationships" name="Promotions" sheetId="4" r:id="R2b7e8fb7ff0342e6"/>
    <x:sheet xmlns:r="http://schemas.openxmlformats.org/officeDocument/2006/relationships" name="Competitors" sheetId="5" r:id="R55406760e43b4445"/>
    <x:sheet xmlns:r="http://schemas.openxmlformats.org/officeDocument/2006/relationships" name="Economic" sheetId="6" r:id="Rca58bffb1dcf472e"/>
    <x:sheet xmlns:r="http://schemas.openxmlformats.org/officeDocument/2006/relationships" name="Lead_Time" sheetId="7" r:id="R029ab981ff63403a"/>
    <x:sheet xmlns:r="http://schemas.openxmlformats.org/officeDocument/2006/relationships" name="Forecast_Actual" sheetId="8" r:id="Raa4d84923bf946f6"/>
    <x:sheet xmlns:r="http://schemas.openxmlformats.org/officeDocument/2006/relationships" name="Regional_Demand_Map" sheetId="9" r:id="R02e46d993fbb4168"/>
    <x:sheet xmlns:r="http://schemas.openxmlformats.org/officeDocument/2006/relationships" name="SCM_Flow_Map" sheetId="10" r:id="Rb6b05fa4553d4a4c"/>
    <x:sheet xmlns:r="http://schemas.openxmlformats.org/officeDocument/2006/relationships" name="Customer_Patterns" sheetId="11" r:id="R33469e1da85c4f66"/>
    <x:sheet xmlns:r="http://schemas.openxmlformats.org/officeDocument/2006/relationships" name="Technology_Data" sheetId="12" r:id="R75ee94bfaba948e3"/>
    <x:sheet xmlns:r="http://schemas.openxmlformats.org/officeDocument/2006/relationships" name="Web_Search_Seeds" sheetId="13" r:id="Rf4c55bc342234a26"/>
    <x:sheet xmlns:r="http://schemas.openxmlformats.org/officeDocument/2006/relationships" name="Manual_Expert_Opinion" sheetId="14" r:id="Ra8f1d8a0e7554e4f"/>
    <x:sheet xmlns:r="http://schemas.openxmlformats.org/officeDocument/2006/relationships" name="Data_Issues" sheetId="15" r:id="R87d4d7e2e276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1da1c9a04484c" /><Relationship Type="http://schemas.openxmlformats.org/officeDocument/2006/relationships/theme" Target="/xl/theme/theme1.xml" Id="R90aa25be94f94a99" /><Relationship Type="http://schemas.openxmlformats.org/officeDocument/2006/relationships/sharedStrings" Target="/xl/sharedStrings.xml" Id="Ra93607d3931f4bb3" /><Relationship Type="http://schemas.openxmlformats.org/officeDocument/2006/relationships/worksheet" Target="/xl/worksheets/sheet1.xml" Id="R7207206345654b8b" /><Relationship Type="http://schemas.openxmlformats.org/officeDocument/2006/relationships/worksheet" Target="/xl/worksheets/sheet2.xml" Id="R521d21f5a8c14fc4" /><Relationship Type="http://schemas.openxmlformats.org/officeDocument/2006/relationships/worksheet" Target="/xl/worksheets/sheet3.xml" Id="R171f55b55555486e" /><Relationship Type="http://schemas.openxmlformats.org/officeDocument/2006/relationships/worksheet" Target="/xl/worksheets/sheet4.xml" Id="R2b7e8fb7ff0342e6" /><Relationship Type="http://schemas.openxmlformats.org/officeDocument/2006/relationships/worksheet" Target="/xl/worksheets/sheet5.xml" Id="R55406760e43b4445" /><Relationship Type="http://schemas.openxmlformats.org/officeDocument/2006/relationships/worksheet" Target="/xl/worksheets/sheet6.xml" Id="Rca58bffb1dcf472e" /><Relationship Type="http://schemas.openxmlformats.org/officeDocument/2006/relationships/worksheet" Target="/xl/worksheets/sheet7.xml" Id="R029ab981ff63403a" /><Relationship Type="http://schemas.openxmlformats.org/officeDocument/2006/relationships/worksheet" Target="/xl/worksheets/sheet8.xml" Id="Raa4d84923bf946f6" /><Relationship Type="http://schemas.openxmlformats.org/officeDocument/2006/relationships/worksheet" Target="/xl/worksheets/sheet9.xml" Id="R02e46d993fbb4168" /><Relationship Type="http://schemas.openxmlformats.org/officeDocument/2006/relationships/worksheet" Target="/xl/worksheets/sheet10.xml" Id="Rb6b05fa4553d4a4c" /><Relationship Type="http://schemas.openxmlformats.org/officeDocument/2006/relationships/worksheet" Target="/xl/worksheets/sheet11.xml" Id="R33469e1da85c4f66" /><Relationship Type="http://schemas.openxmlformats.org/officeDocument/2006/relationships/worksheet" Target="/xl/worksheets/sheet12.xml" Id="R75ee94bfaba948e3" /><Relationship Type="http://schemas.openxmlformats.org/officeDocument/2006/relationships/worksheet" Target="/xl/worksheets/sheet13.xml" Id="Rf4c55bc342234a26" /><Relationship Type="http://schemas.openxmlformats.org/officeDocument/2006/relationships/worksheet" Target="/xl/worksheets/sheet14.xml" Id="Ra8f1d8a0e7554e4f" /><Relationship Type="http://schemas.openxmlformats.org/officeDocument/2006/relationships/worksheet" Target="/xl/worksheets/sheet15.xml" Id="R87d4d7e2e276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DPF-01</x:v>
      </x:c>
    </x:row>
    <x:row r="3">
      <x:c r="A3" t="str">
        <x:v>Scenario Title</x:v>
      </x:c>
      <x:c r="B3" t="str">
        <x:v>Clean Baseline FMCG Demand</x:v>
      </x:c>
    </x:row>
    <x:row r="4">
      <x:c r="A4" t="str">
        <x:v>Purpose</x:v>
      </x:c>
      <x:c r="B4" t="str">
        <x:v>Baseline clean import and complete dashboard smoke test.</x:v>
      </x:c>
    </x:row>
    <x:row r="5">
      <x:c r="A5" t="str">
        <x:v>Product Name</x:v>
      </x:c>
      <x:c r="B5" t="str">
        <x:v>Dove Beauty Bar</x:v>
      </x:c>
    </x:row>
    <x:row r="6">
      <x:c r="A6" t="str">
        <x:v>Category</x:v>
      </x:c>
      <x:c r="B6" t="str">
        <x:v>Cosmetics</x:v>
      </x:c>
    </x:row>
    <x:row r="7">
      <x:c r="A7" t="str">
        <x:v>Brand</x:v>
      </x:c>
      <x:c r="B7" t="str">
        <x:v>Dove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Historical Sales, Inventory, Lead Time, Forecast Accuracy</x:v>
      </x:c>
    </x:row>
    <x:row r="11">
      <x:c r="A11" t="str">
        <x:v>Recommended Inputs To Tick</x:v>
      </x:c>
      <x:c r="B11" t="str">
        <x:v>Historical Sales Data, Inventory Levels, Lead Time, Forecast Accuracy</x:v>
      </x:c>
    </x:row>
    <x:row r="12">
      <x:c r="A12" t="str">
        <x:v>Recommended Outputs To Tick</x:v>
      </x:c>
      <x:c r="B12" t="str">
        <x:v>Demand Forecast, Inventory Requirement, Stockout Risk, Forecast Accuracy Report, Final SCM Recommendation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Dove Beauty Bar</x:v>
      </x:c>
      <x:c r="C2" t="str">
        <x:v>Cosmetics</x:v>
      </x:c>
      <x:c r="D2" t="str">
        <x:v>Dove</x:v>
      </x:c>
      <x:c r="E2" t="str">
        <x:v>Dhaka</x:v>
      </x:c>
      <x:c r="F2" t="str">
        <x:v>Retail</x:v>
      </x:c>
      <x:c r="G2" t="n">
        <x:v>1550</x:v>
      </x:c>
      <x:c r="H2" t="n">
        <x:v>135</x:v>
      </x:c>
      <x:c r="I2" t="n">
        <x:v>209250</x:v>
      </x:c>
      <x:c r="J2" t="str"/>
    </x:row>
    <x:row r="3">
      <x:c r="A3" t="n">
        <x:v>45323</x:v>
      </x:c>
      <x:c r="B3" t="str">
        <x:v>Dove Beauty Bar</x:v>
      </x:c>
      <x:c r="C3" t="str">
        <x:v>Cosmetics</x:v>
      </x:c>
      <x:c r="D3" t="str">
        <x:v>Dove</x:v>
      </x:c>
      <x:c r="E3" t="str">
        <x:v>Chattogram</x:v>
      </x:c>
      <x:c r="F3" t="str">
        <x:v>Online</x:v>
      </x:c>
      <x:c r="G3" t="n">
        <x:v>1349</x:v>
      </x:c>
      <x:c r="H3" t="n">
        <x:v>135</x:v>
      </x:c>
      <x:c r="I3" t="n">
        <x:v>182115</x:v>
      </x:c>
      <x:c r="J3" t="str"/>
    </x:row>
    <x:row r="4">
      <x:c r="A4" t="n">
        <x:v>45352</x:v>
      </x:c>
      <x:c r="B4" t="str">
        <x:v>Dove Beauty Bar</x:v>
      </x:c>
      <x:c r="C4" t="str">
        <x:v>Cosmetics</x:v>
      </x:c>
      <x:c r="D4" t="str">
        <x:v>Dove</x:v>
      </x:c>
      <x:c r="E4" t="str">
        <x:v>Sylhet</x:v>
      </x:c>
      <x:c r="F4" t="str">
        <x:v>Wholesale</x:v>
      </x:c>
      <x:c r="G4" t="n">
        <x:v>1462</x:v>
      </x:c>
      <x:c r="H4" t="n">
        <x:v>135</x:v>
      </x:c>
      <x:c r="I4" t="n">
        <x:v>197370</x:v>
      </x:c>
      <x:c r="J4" t="str"/>
    </x:row>
    <x:row r="5">
      <x:c r="A5" t="n">
        <x:v>45383</x:v>
      </x:c>
      <x:c r="B5" t="str">
        <x:v>Dove Beauty Bar</x:v>
      </x:c>
      <x:c r="C5" t="str">
        <x:v>Cosmetics</x:v>
      </x:c>
      <x:c r="D5" t="str">
        <x:v>Dove</x:v>
      </x:c>
      <x:c r="E5" t="str">
        <x:v>Rajshahi</x:v>
      </x:c>
      <x:c r="F5" t="str">
        <x:v>Modern Trade</x:v>
      </x:c>
      <x:c r="G5" t="n">
        <x:v>1463</x:v>
      </x:c>
      <x:c r="H5" t="n">
        <x:v>135</x:v>
      </x:c>
      <x:c r="I5" t="n">
        <x:v>197505</x:v>
      </x:c>
      <x:c r="J5" t="str"/>
    </x:row>
    <x:row r="6">
      <x:c r="A6" t="n">
        <x:v>45413</x:v>
      </x:c>
      <x:c r="B6" t="str">
        <x:v>Dove Beauty Bar</x:v>
      </x:c>
      <x:c r="C6" t="str">
        <x:v>Cosmetics</x:v>
      </x:c>
      <x:c r="D6" t="str">
        <x:v>Dove</x:v>
      </x:c>
      <x:c r="E6" t="str">
        <x:v>Khulna</x:v>
      </x:c>
      <x:c r="F6" t="str">
        <x:v>Retail</x:v>
      </x:c>
      <x:c r="G6" t="n">
        <x:v>1680</x:v>
      </x:c>
      <x:c r="H6" t="n">
        <x:v>135</x:v>
      </x:c>
      <x:c r="I6" t="n">
        <x:v>226800</x:v>
      </x:c>
      <x:c r="J6" t="str"/>
    </x:row>
    <x:row r="7">
      <x:c r="A7" t="n">
        <x:v>45444</x:v>
      </x:c>
      <x:c r="B7" t="str">
        <x:v>Dove Beauty Bar</x:v>
      </x:c>
      <x:c r="C7" t="str">
        <x:v>Cosmetics</x:v>
      </x:c>
      <x:c r="D7" t="str">
        <x:v>Dove</x:v>
      </x:c>
      <x:c r="E7" t="str">
        <x:v>Barishal</x:v>
      </x:c>
      <x:c r="F7" t="str">
        <x:v>Online</x:v>
      </x:c>
      <x:c r="G7" t="n">
        <x:v>1681</x:v>
      </x:c>
      <x:c r="H7" t="n">
        <x:v>135</x:v>
      </x:c>
      <x:c r="I7" t="n">
        <x:v>226935</x:v>
      </x:c>
      <x:c r="J7" t="str"/>
    </x:row>
    <x:row r="8">
      <x:c r="A8" t="n">
        <x:v>45474</x:v>
      </x:c>
      <x:c r="B8" t="str">
        <x:v>Dove Beauty Bar</x:v>
      </x:c>
      <x:c r="C8" t="str">
        <x:v>Cosmetics</x:v>
      </x:c>
      <x:c r="D8" t="str">
        <x:v>Dove</x:v>
      </x:c>
      <x:c r="E8" t="str">
        <x:v>Rangpur</x:v>
      </x:c>
      <x:c r="F8" t="str">
        <x:v>Wholesale</x:v>
      </x:c>
      <x:c r="G8" t="n">
        <x:v>1789</x:v>
      </x:c>
      <x:c r="H8" t="n">
        <x:v>135</x:v>
      </x:c>
      <x:c r="I8" t="n">
        <x:v>241515</x:v>
      </x:c>
      <x:c r="J8" t="str"/>
    </x:row>
    <x:row r="9">
      <x:c r="A9" t="n">
        <x:v>45505</x:v>
      </x:c>
      <x:c r="B9" t="str">
        <x:v>Dove Beauty Bar</x:v>
      </x:c>
      <x:c r="C9" t="str">
        <x:v>Cosmetics</x:v>
      </x:c>
      <x:c r="D9" t="str">
        <x:v>Dove</x:v>
      </x:c>
      <x:c r="E9" t="str">
        <x:v>Mymensingh</x:v>
      </x:c>
      <x:c r="F9" t="str">
        <x:v>Modern Trade</x:v>
      </x:c>
      <x:c r="G9" t="n">
        <x:v>1493</x:v>
      </x:c>
      <x:c r="H9" t="n">
        <x:v>135</x:v>
      </x:c>
      <x:c r="I9" t="n">
        <x:v>201555</x:v>
      </x:c>
      <x:c r="J9" t="str"/>
    </x:row>
    <x:row r="10">
      <x:c r="A10" t="n">
        <x:v>45536</x:v>
      </x:c>
      <x:c r="B10" t="str">
        <x:v>Dove Beauty Bar</x:v>
      </x:c>
      <x:c r="C10" t="str">
        <x:v>Cosmetics</x:v>
      </x:c>
      <x:c r="D10" t="str">
        <x:v>Dove</x:v>
      </x:c>
      <x:c r="E10" t="str">
        <x:v>Dhaka</x:v>
      </x:c>
      <x:c r="F10" t="str">
        <x:v>Retail</x:v>
      </x:c>
      <x:c r="G10" t="n">
        <x:v>1649</x:v>
      </x:c>
      <x:c r="H10" t="n">
        <x:v>135</x:v>
      </x:c>
      <x:c r="I10" t="n">
        <x:v>222615</x:v>
      </x:c>
      <x:c r="J10" t="str"/>
    </x:row>
    <x:row r="11">
      <x:c r="A11" t="n">
        <x:v>45566</x:v>
      </x:c>
      <x:c r="B11" t="str">
        <x:v>Dove Beauty Bar</x:v>
      </x:c>
      <x:c r="C11" t="str">
        <x:v>Cosmetics</x:v>
      </x:c>
      <x:c r="D11" t="str">
        <x:v>Dove</x:v>
      </x:c>
      <x:c r="E11" t="str">
        <x:v>Chattogram</x:v>
      </x:c>
      <x:c r="F11" t="str">
        <x:v>Online</x:v>
      </x:c>
      <x:c r="G11" t="n">
        <x:v>1510</x:v>
      </x:c>
      <x:c r="H11" t="n">
        <x:v>135</x:v>
      </x:c>
      <x:c r="I11" t="n">
        <x:v>203850</x:v>
      </x:c>
      <x:c r="J11" t="str"/>
    </x:row>
    <x:row r="12">
      <x:c r="A12" t="n">
        <x:v>45597</x:v>
      </x:c>
      <x:c r="B12" t="str">
        <x:v>Dove Beauty Bar</x:v>
      </x:c>
      <x:c r="C12" t="str">
        <x:v>Cosmetics</x:v>
      </x:c>
      <x:c r="D12" t="str">
        <x:v>Dove</x:v>
      </x:c>
      <x:c r="E12" t="str">
        <x:v>Sylhet</x:v>
      </x:c>
      <x:c r="F12" t="str">
        <x:v>Wholesale</x:v>
      </x:c>
      <x:c r="G12" t="n">
        <x:v>1609</x:v>
      </x:c>
      <x:c r="H12" t="n">
        <x:v>135</x:v>
      </x:c>
      <x:c r="I12" t="n">
        <x:v>217215</x:v>
      </x:c>
      <x:c r="J12" t="str"/>
    </x:row>
    <x:row r="13">
      <x:c r="A13" t="n">
        <x:v>45627</x:v>
      </x:c>
      <x:c r="B13" t="str">
        <x:v>Dove Beauty Bar</x:v>
      </x:c>
      <x:c r="C13" t="str">
        <x:v>Cosmetics</x:v>
      </x:c>
      <x:c r="D13" t="str">
        <x:v>Dove</x:v>
      </x:c>
      <x:c r="E13" t="str">
        <x:v>Rajshahi</x:v>
      </x:c>
      <x:c r="F13" t="str">
        <x:v>Modern Trade</x:v>
      </x:c>
      <x:c r="G13" t="n">
        <x:v>1750</x:v>
      </x:c>
      <x:c r="H13" t="n">
        <x:v>135</x:v>
      </x:c>
      <x:c r="I13" t="n">
        <x:v>236250</x:v>
      </x:c>
      <x:c r="J13" t="str"/>
    </x:row>
    <x:row r="14">
      <x:c r="A14" t="n">
        <x:v>45658</x:v>
      </x:c>
      <x:c r="B14" t="str">
        <x:v>Dove Beauty Bar</x:v>
      </x:c>
      <x:c r="C14" t="str">
        <x:v>Cosmetics</x:v>
      </x:c>
      <x:c r="D14" t="str">
        <x:v>Dove</x:v>
      </x:c>
      <x:c r="E14" t="str">
        <x:v>Khulna</x:v>
      </x:c>
      <x:c r="F14" t="str">
        <x:v>Retail</x:v>
      </x:c>
      <x:c r="G14" t="n">
        <x:v>1569</x:v>
      </x:c>
      <x:c r="H14" t="n">
        <x:v>135</x:v>
      </x:c>
      <x:c r="I14" t="n">
        <x:v>211815</x:v>
      </x:c>
      <x:c r="J14" t="str"/>
    </x:row>
    <x:row r="15">
      <x:c r="A15" t="n">
        <x:v>45689</x:v>
      </x:c>
      <x:c r="B15" t="str">
        <x:v>Dove Beauty Bar</x:v>
      </x:c>
      <x:c r="C15" t="str">
        <x:v>Cosmetics</x:v>
      </x:c>
      <x:c r="D15" t="str">
        <x:v>Dove</x:v>
      </x:c>
      <x:c r="E15" t="str">
        <x:v>Barishal</x:v>
      </x:c>
      <x:c r="F15" t="str">
        <x:v>Online</x:v>
      </x:c>
      <x:c r="G15" t="n">
        <x:v>1663</x:v>
      </x:c>
      <x:c r="H15" t="n">
        <x:v>135</x:v>
      </x:c>
      <x:c r="I15" t="n">
        <x:v>224505</x:v>
      </x:c>
      <x:c r="J15" t="str"/>
    </x:row>
    <x:row r="16">
      <x:c r="A16" t="n">
        <x:v>45717</x:v>
      </x:c>
      <x:c r="B16" t="str">
        <x:v>Dove Beauty Bar</x:v>
      </x:c>
      <x:c r="C16" t="str">
        <x:v>Cosmetics</x:v>
      </x:c>
      <x:c r="D16" t="str">
        <x:v>Dove</x:v>
      </x:c>
      <x:c r="E16" t="str">
        <x:v>Rangpur</x:v>
      </x:c>
      <x:c r="F16" t="str">
        <x:v>Wholesale</x:v>
      </x:c>
      <x:c r="G16" t="n">
        <x:v>1880</x:v>
      </x:c>
      <x:c r="H16" t="n">
        <x:v>135</x:v>
      </x:c>
      <x:c r="I16" t="n">
        <x:v>253800</x:v>
      </x:c>
      <x:c r="J16" t="str"/>
    </x:row>
    <x:row r="17">
      <x:c r="A17" t="n">
        <x:v>45748</x:v>
      </x:c>
      <x:c r="B17" t="str">
        <x:v>Dove Beauty Bar</x:v>
      </x:c>
      <x:c r="C17" t="str">
        <x:v>Cosmetics</x:v>
      </x:c>
      <x:c r="D17" t="str">
        <x:v>Dove</x:v>
      </x:c>
      <x:c r="E17" t="str">
        <x:v>Mymensingh</x:v>
      </x:c>
      <x:c r="F17" t="str">
        <x:v>Modern Trade</x:v>
      </x:c>
      <x:c r="G17" t="n">
        <x:v>1857</x:v>
      </x:c>
      <x:c r="H17" t="n">
        <x:v>135</x:v>
      </x:c>
      <x:c r="I17" t="n">
        <x:v>250695</x:v>
      </x:c>
      <x:c r="J17" t="str"/>
    </x:row>
    <x:row r="18">
      <x:c r="A18" t="n">
        <x:v>45778</x:v>
      </x:c>
      <x:c r="B18" t="str">
        <x:v>Dove Beauty Bar</x:v>
      </x:c>
      <x:c r="C18" t="str">
        <x:v>Cosmetics</x:v>
      </x:c>
      <x:c r="D18" t="str">
        <x:v>Dove</x:v>
      </x:c>
      <x:c r="E18" t="str">
        <x:v>Dhaka</x:v>
      </x:c>
      <x:c r="F18" t="str">
        <x:v>Retail</x:v>
      </x:c>
      <x:c r="G18" t="n">
        <x:v>1735</x:v>
      </x:c>
      <x:c r="H18" t="n">
        <x:v>135</x:v>
      </x:c>
      <x:c r="I18" t="n">
        <x:v>234225</x:v>
      </x:c>
      <x:c r="J18" t="str"/>
    </x:row>
    <x:row r="19">
      <x:c r="A19" t="n">
        <x:v>45809</x:v>
      </x:c>
      <x:c r="B19" t="str">
        <x:v>Dove Beauty Bar</x:v>
      </x:c>
      <x:c r="C19" t="str">
        <x:v>Cosmetics</x:v>
      </x:c>
      <x:c r="D19" t="str">
        <x:v>Dove</x:v>
      </x:c>
      <x:c r="E19" t="str">
        <x:v>Chattogram</x:v>
      </x:c>
      <x:c r="F19" t="str">
        <x:v>Online</x:v>
      </x:c>
      <x:c r="G19" t="n">
        <x:v>1923</x:v>
      </x:c>
      <x:c r="H19" t="n">
        <x:v>135</x:v>
      </x:c>
      <x:c r="I19" t="n">
        <x:v>259605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DOV-DPF-01-01</x:v>
      </x:c>
      <x:c r="B2" t="str">
        <x:v>Dove Beauty Bar</x:v>
      </x:c>
      <x:c r="C2" t="str">
        <x:v>Cosmetics</x:v>
      </x:c>
      <x:c r="D2" t="str">
        <x:v>Dove</x:v>
      </x:c>
      <x:c r="E2" t="str">
        <x:v>Dhaka</x:v>
      </x:c>
      <x:c r="F2" t="str">
        <x:v>Dhaka DC</x:v>
      </x:c>
      <x:c r="G2" t="n">
        <x:v>3202</x:v>
      </x:c>
      <x:c r="H2" t="n">
        <x:v>442</x:v>
      </x:c>
      <x:c r="I2" t="n">
        <x:v>1260</x:v>
      </x:c>
      <x:c r="J2" t="n">
        <x:v>459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DOV-DPF-01-02</x:v>
      </x:c>
      <x:c r="B3" t="str">
        <x:v>Dove Beauty Bar</x:v>
      </x:c>
      <x:c r="C3" t="str">
        <x:v>Cosmetics</x:v>
      </x:c>
      <x:c r="D3" t="str">
        <x:v>Dove</x:v>
      </x:c>
      <x:c r="E3" t="str">
        <x:v>Chattogram</x:v>
      </x:c>
      <x:c r="F3" t="str">
        <x:v>Chattogram DC</x:v>
      </x:c>
      <x:c r="G3" t="n">
        <x:v>1853</x:v>
      </x:c>
      <x:c r="H3" t="n">
        <x:v>483</x:v>
      </x:c>
      <x:c r="I3" t="n">
        <x:v>1349</x:v>
      </x:c>
      <x:c r="J3" t="n">
        <x:v>260</x:v>
      </x:c>
      <x:c r="K3" t="n">
        <x:v>120</x:v>
      </x:c>
      <x:c r="L3" t="n">
        <x:v>45673</x:v>
      </x:c>
      <x:c r="M3" t="str">
        <x:v>OK</x:v>
      </x:c>
    </x:row>
    <x:row r="4">
      <x:c r="A4" t="str">
        <x:v>DOV-DPF-01-03</x:v>
      </x:c>
      <x:c r="B4" t="str">
        <x:v>Dove Beauty Bar</x:v>
      </x:c>
      <x:c r="C4" t="str">
        <x:v>Cosmetics</x:v>
      </x:c>
      <x:c r="D4" t="str">
        <x:v>Dove</x:v>
      </x:c>
      <x:c r="E4" t="str">
        <x:v>Sylhet</x:v>
      </x:c>
      <x:c r="F4" t="str">
        <x:v>Sylhet DC</x:v>
      </x:c>
      <x:c r="G4" t="n">
        <x:v>1142</x:v>
      </x:c>
      <x:c r="H4" t="n">
        <x:v>467</x:v>
      </x:c>
      <x:c r="I4" t="n">
        <x:v>1298</x:v>
      </x:c>
      <x:c r="J4" t="n">
        <x:v>407</x:v>
      </x:c>
      <x:c r="K4" t="n">
        <x:v>120</x:v>
      </x:c>
      <x:c r="L4" t="n">
        <x:v>45674</x:v>
      </x:c>
      <x:c r="M4" t="str">
        <x:v>Reorder Needed</x:v>
      </x:c>
    </x:row>
    <x:row r="5">
      <x:c r="A5" t="str">
        <x:v>DOV-DPF-01-04</x:v>
      </x:c>
      <x:c r="B5" t="str">
        <x:v>Dove Beauty Bar</x:v>
      </x:c>
      <x:c r="C5" t="str">
        <x:v>Cosmetics</x:v>
      </x:c>
      <x:c r="D5" t="str">
        <x:v>Dove</x:v>
      </x:c>
      <x:c r="E5" t="str">
        <x:v>Rajshahi</x:v>
      </x:c>
      <x:c r="F5" t="str">
        <x:v>Rajshahi DC</x:v>
      </x:c>
      <x:c r="G5" t="n">
        <x:v>3195</x:v>
      </x:c>
      <x:c r="H5" t="n">
        <x:v>641</x:v>
      </x:c>
      <x:c r="I5" t="n">
        <x:v>1373</x:v>
      </x:c>
      <x:c r="J5" t="n">
        <x:v>610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DOV-DPF-01-05</x:v>
      </x:c>
      <x:c r="B6" t="str">
        <x:v>Dove Beauty Bar</x:v>
      </x:c>
      <x:c r="C6" t="str">
        <x:v>Cosmetics</x:v>
      </x:c>
      <x:c r="D6" t="str">
        <x:v>Dove</x:v>
      </x:c>
      <x:c r="E6" t="str">
        <x:v>Khulna</x:v>
      </x:c>
      <x:c r="F6" t="str">
        <x:v>Khulna DC</x:v>
      </x:c>
      <x:c r="G6" t="n">
        <x:v>1963</x:v>
      </x:c>
      <x:c r="H6" t="n">
        <x:v>592</x:v>
      </x:c>
      <x:c r="I6" t="n">
        <x:v>1417</x:v>
      </x:c>
      <x:c r="J6" t="n">
        <x:v>415</x:v>
      </x:c>
      <x:c r="K6" t="n">
        <x:v>120</x:v>
      </x:c>
      <x:c r="L6" t="n">
        <x:v>45676</x:v>
      </x:c>
      <x:c r="M6" t="str">
        <x:v>OK</x:v>
      </x:c>
    </x:row>
    <x:row r="7">
      <x:c r="A7" t="str">
        <x:v>DOV-DPF-01-06</x:v>
      </x:c>
      <x:c r="B7" t="str">
        <x:v>Dove Beauty Bar</x:v>
      </x:c>
      <x:c r="C7" t="str">
        <x:v>Cosmetics</x:v>
      </x:c>
      <x:c r="D7" t="str">
        <x:v>Dove</x:v>
      </x:c>
      <x:c r="E7" t="str">
        <x:v>Barishal</x:v>
      </x:c>
      <x:c r="F7" t="str">
        <x:v>Barishal DC</x:v>
      </x:c>
      <x:c r="G7" t="n">
        <x:v>3352</x:v>
      </x:c>
      <x:c r="H7" t="n">
        <x:v>599</x:v>
      </x:c>
      <x:c r="I7" t="n">
        <x:v>1384</x:v>
      </x:c>
      <x:c r="J7" t="n">
        <x:v>100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DOV-DPF-01-07</x:v>
      </x:c>
      <x:c r="B8" t="str">
        <x:v>Dove Beauty Bar</x:v>
      </x:c>
      <x:c r="C8" t="str">
        <x:v>Cosmetics</x:v>
      </x:c>
      <x:c r="D8" t="str">
        <x:v>Dove</x:v>
      </x:c>
      <x:c r="E8" t="str">
        <x:v>Rangpur</x:v>
      </x:c>
      <x:c r="F8" t="str">
        <x:v>Rangpur DC</x:v>
      </x:c>
      <x:c r="G8" t="n">
        <x:v>1530</x:v>
      </x:c>
      <x:c r="H8" t="n">
        <x:v>520</x:v>
      </x:c>
      <x:c r="I8" t="n">
        <x:v>1106</x:v>
      </x:c>
      <x:c r="J8" t="n">
        <x:v>203</x:v>
      </x:c>
      <x:c r="K8" t="n">
        <x:v>120</x:v>
      </x:c>
      <x:c r="L8" t="n">
        <x:v>45678</x:v>
      </x:c>
      <x:c r="M8" t="str">
        <x:v>OK</x:v>
      </x:c>
    </x:row>
    <x:row r="9">
      <x:c r="A9" t="str">
        <x:v>DOV-DPF-01-08</x:v>
      </x:c>
      <x:c r="B9" t="str">
        <x:v>Dove Beauty Bar</x:v>
      </x:c>
      <x:c r="C9" t="str">
        <x:v>Cosmetics</x:v>
      </x:c>
      <x:c r="D9" t="str">
        <x:v>Dove</x:v>
      </x:c>
      <x:c r="E9" t="str">
        <x:v>Mymensingh</x:v>
      </x:c>
      <x:c r="F9" t="str">
        <x:v>Mymensingh DC</x:v>
      </x:c>
      <x:c r="G9" t="n">
        <x:v>1165</x:v>
      </x:c>
      <x:c r="H9" t="n">
        <x:v>516</x:v>
      </x:c>
      <x:c r="I9" t="n">
        <x:v>1279</x:v>
      </x:c>
      <x:c r="J9" t="n">
        <x:v>276</x:v>
      </x:c>
      <x:c r="K9" t="n">
        <x:v>120</x:v>
      </x:c>
      <x:c r="L9" t="n">
        <x:v>45679</x:v>
      </x:c>
      <x:c r="M9" t="str">
        <x:v>Reorder Needed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16.4</x:v>
      </x:c>
      <x:c r="G2" t="n">
        <x:v>12.8</x:v>
      </x:c>
      <x:c r="H2" t="n">
        <x:v>94028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34.9</x:v>
      </x:c>
      <x:c r="G3" t="n">
        <x:v>36.2</x:v>
      </x:c>
      <x:c r="H3" t="n">
        <x:v>124822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17.6</x:v>
      </x:c>
      <x:c r="G4" t="n">
        <x:v>19.1</x:v>
      </x:c>
      <x:c r="H4" t="n">
        <x:v>84706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13.8</x:v>
      </x:c>
      <x:c r="G5" t="n">
        <x:v>17.2</x:v>
      </x:c>
      <x:c r="H5" t="n">
        <x:v>127600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Cosmetics</x:v>
      </x:c>
      <x:c r="E2" t="n">
        <x:v>138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Cosmetics</x:v>
      </x:c>
      <x:c r="E3" t="n">
        <x:v>144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Cosmetics</x:v>
      </x:c>
      <x:c r="E4" t="n">
        <x:v>152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Cosmetics</x:v>
      </x:c>
      <x:c r="E5" t="n">
        <x:v>148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7.34</x:v>
      </x:c>
      <x:c r="C2" t="n">
        <x:v>99.06</x:v>
      </x:c>
      <x:c r="D2" t="n">
        <x:v>87.25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7.78</x:v>
      </x:c>
      <x:c r="C3" t="n">
        <x:v>99.84</x:v>
      </x:c>
      <x:c r="D3" t="n">
        <x:v>86.72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8.07</x:v>
      </x:c>
      <x:c r="C4" t="n">
        <x:v>101.49</x:v>
      </x:c>
      <x:c r="D4" t="n">
        <x:v>86.73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8.74</x:v>
      </x:c>
      <x:c r="C5" t="n">
        <x:v>100.53</x:v>
      </x:c>
      <x:c r="D5" t="n">
        <x:v>85.31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8.76</x:v>
      </x:c>
      <x:c r="C6" t="n">
        <x:v>100.99</x:v>
      </x:c>
      <x:c r="D6" t="n">
        <x:v>85.41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8.94</x:v>
      </x:c>
      <x:c r="C7" t="n">
        <x:v>101.42</x:v>
      </x:c>
      <x:c r="D7" t="n">
        <x:v>85.22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8.45</x:v>
      </x:c>
      <x:c r="C8" t="n">
        <x:v>101.29</x:v>
      </x:c>
      <x:c r="D8" t="n">
        <x:v>86.02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8.4</x:v>
      </x:c>
      <x:c r="C9" t="n">
        <x:v>101.63</x:v>
      </x:c>
      <x:c r="D9" t="n">
        <x:v>86.2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</x:v>
      </x:c>
      <x:c r="C10" t="n">
        <x:v>103.2</x:v>
      </x:c>
      <x:c r="D10" t="n">
        <x:v>87.19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7.61</x:v>
      </x:c>
      <x:c r="C11" t="n">
        <x:v>102.14</x:v>
      </x:c>
      <x:c r="D11" t="n">
        <x:v>87.71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7.57</x:v>
      </x:c>
      <x:c r="C12" t="n">
        <x:v>103.02</x:v>
      </x:c>
      <x:c r="D12" t="n">
        <x:v>88.04</x:v>
      </x:c>
      <x:c r="E12" t="n">
        <x:v>113</x:v>
      </x:c>
      <x:c r="F12" t="str">
        <x:v>Medium</x:v>
      </x:c>
      <x:c r="G12" t="str">
        <x:v>Economic conditions for demand adjustment</x:v>
      </x:c>
    </x:row>
    <x:row r="13">
      <x:c r="A13" t="n">
        <x:v>45627</x:v>
      </x:c>
      <x:c r="B13" t="n">
        <x:v>6.65</x:v>
      </x:c>
      <x:c r="C13" t="n">
        <x:v>102.39</x:v>
      </x:c>
      <x:c r="D13" t="n">
        <x:v>89.41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6.36</x:v>
      </x:c>
      <x:c r="C14" t="n">
        <x:v>103.85</x:v>
      </x:c>
      <x:c r="D14" t="n">
        <x:v>90.35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6.56</x:v>
      </x:c>
      <x:c r="C15" t="n">
        <x:v>103.74</x:v>
      </x:c>
      <x:c r="D15" t="n">
        <x:v>89.97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6.04</x:v>
      </x:c>
      <x:c r="C16" t="n">
        <x:v>103.96</x:v>
      </x:c>
      <x:c r="D16" t="n">
        <x:v>90.92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6.65</x:v>
      </x:c>
      <x:c r="C17" t="n">
        <x:v>104.56</x:v>
      </x:c>
      <x:c r="D17" t="n">
        <x:v>90.07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6.81</x:v>
      </x:c>
      <x:c r="C18" t="n">
        <x:v>105.52</x:v>
      </x:c>
      <x:c r="D18" t="n">
        <x:v>90.09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6.51</x:v>
      </x:c>
      <x:c r="C19" t="n">
        <x:v>105.54</x:v>
      </x:c>
      <x:c r="D19" t="n">
        <x:v>90.59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9</x:v>
      </x:c>
      <x:c r="F2" t="n">
        <x:v>7</x:v>
      </x:c>
      <x:c r="G2" t="n">
        <x:v>1</x:v>
      </x:c>
      <x:c r="H2" t="n">
        <x:v>23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11</x:v>
      </x:c>
      <x:c r="F3" t="n">
        <x:v>4</x:v>
      </x:c>
      <x:c r="G3" t="n">
        <x:v>4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2</x:v>
      </x:c>
      <x:c r="E4" t="n">
        <x:v>9</x:v>
      </x:c>
      <x:c r="F4" t="n">
        <x:v>4</x:v>
      </x:c>
      <x:c r="G4" t="n">
        <x:v>5</x:v>
      </x:c>
      <x:c r="H4" t="n">
        <x:v>20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9</x:v>
      </x:c>
      <x:c r="F5" t="n">
        <x:v>5</x:v>
      </x:c>
      <x:c r="G5" t="n">
        <x:v>2</x:v>
      </x:c>
      <x:c r="H5" t="n">
        <x:v>18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1462</x:v>
      </x:c>
      <x:c r="C2" t="n">
        <x:v>1293</x:v>
      </x:c>
      <x:c r="D2" t="n">
        <x:f>C2-B2</x:f>
        <x:v>-169</x:v>
      </x:c>
      <x:c r="E2" t="n">
        <x:f>ABS(D2)</x:f>
        <x:v>169</x:v>
      </x:c>
      <x:c r="F2" s="22" t="n">
        <x:f>IFERROR(E2/C2,0)</x:f>
        <x:v>0.13070378963650425</x:v>
      </x:c>
      <x:c r="G2" t="str">
        <x:v>Formula columns should calculate error and accuracy</x:v>
      </x:c>
    </x:row>
    <x:row r="3">
      <x:c r="A3" t="n">
        <x:v>45505</x:v>
      </x:c>
      <x:c r="B3" t="n">
        <x:v>1669</x:v>
      </x:c>
      <x:c r="C3" t="n">
        <x:v>1984</x:v>
      </x:c>
      <x:c r="D3" t="n">
        <x:f>C3-B3</x:f>
        <x:v>315</x:v>
      </x:c>
      <x:c r="E3" t="n">
        <x:f>ABS(D3)</x:f>
        <x:v>315</x:v>
      </x:c>
      <x:c r="F3" s="22" t="n">
        <x:f>IFERROR(E3/C3,0)</x:f>
        <x:v>0.1587701612903226</x:v>
      </x:c>
      <x:c r="G3" t="str">
        <x:v>Formula columns should calculate error and accuracy</x:v>
      </x:c>
    </x:row>
    <x:row r="4">
      <x:c r="A4" t="n">
        <x:v>45536</x:v>
      </x:c>
      <x:c r="B4" t="n">
        <x:v>1691</x:v>
      </x:c>
      <x:c r="C4" t="n">
        <x:v>1792</x:v>
      </x:c>
      <x:c r="D4" t="n">
        <x:f>C4-B4</x:f>
        <x:v>101</x:v>
      </x:c>
      <x:c r="E4" t="n">
        <x:f>ABS(D4)</x:f>
        <x:v>101</x:v>
      </x:c>
      <x:c r="F4" s="22" t="n">
        <x:f>IFERROR(E4/C4,0)</x:f>
        <x:v>0.056361607142857144</x:v>
      </x:c>
      <x:c r="G4" t="str">
        <x:v>Formula columns should calculate error and accuracy</x:v>
      </x:c>
    </x:row>
    <x:row r="5">
      <x:c r="A5" t="n">
        <x:v>45566</x:v>
      </x:c>
      <x:c r="B5" t="n">
        <x:v>1586</x:v>
      </x:c>
      <x:c r="C5" t="n">
        <x:v>1371</x:v>
      </x:c>
      <x:c r="D5" t="n">
        <x:f>C5-B5</x:f>
        <x:v>-215</x:v>
      </x:c>
      <x:c r="E5" t="n">
        <x:f>ABS(D5)</x:f>
        <x:v>215</x:v>
      </x:c>
      <x:c r="F5" s="22" t="n">
        <x:f>IFERROR(E5/C5,0)</x:f>
        <x:v>0.15681983953318746</x:v>
      </x:c>
      <x:c r="G5" t="str">
        <x:v>Formula columns should calculate error and accuracy</x:v>
      </x:c>
    </x:row>
    <x:row r="6">
      <x:c r="A6" t="n">
        <x:v>45597</x:v>
      </x:c>
      <x:c r="B6" t="n">
        <x:v>1576</x:v>
      </x:c>
      <x:c r="C6" t="n">
        <x:v>1913</x:v>
      </x:c>
      <x:c r="D6" t="n">
        <x:f>C6-B6</x:f>
        <x:v>337</x:v>
      </x:c>
      <x:c r="E6" t="n">
        <x:f>ABS(D6)</x:f>
        <x:v>337</x:v>
      </x:c>
      <x:c r="F6" s="22" t="n">
        <x:f>IFERROR(E6/C6,0)</x:f>
        <x:v>0.17616309461578672</x:v>
      </x:c>
      <x:c r="G6" t="str">
        <x:v>Formula columns should calculate error and accuracy</x:v>
      </x:c>
    </x:row>
    <x:row r="7">
      <x:c r="A7" t="n">
        <x:v>45627</x:v>
      </x:c>
      <x:c r="B7" t="n">
        <x:v>1751</x:v>
      </x:c>
      <x:c r="C7" t="n">
        <x:v>1604</x:v>
      </x:c>
      <x:c r="D7" t="n">
        <x:f>C7-B7</x:f>
        <x:v>-147</x:v>
      </x:c>
      <x:c r="E7" t="n">
        <x:f>ABS(D7)</x:f>
        <x:v>147</x:v>
      </x:c>
      <x:c r="F7" s="22" t="n">
        <x:f>IFERROR(E7/C7,0)</x:f>
        <x:v>0.09164588528678304</x:v>
      </x:c>
      <x:c r="G7" t="str">
        <x:v>Formula columns should calculate error and accuracy</x:v>
      </x:c>
    </x:row>
    <x:row r="8">
      <x:c r="A8" t="n">
        <x:v>45658</x:v>
      </x:c>
      <x:c r="B8" t="n">
        <x:v>1593</x:v>
      </x:c>
      <x:c r="C8" t="n">
        <x:v>1668</x:v>
      </x:c>
      <x:c r="D8" t="n">
        <x:f>C8-B8</x:f>
        <x:v>75</x:v>
      </x:c>
      <x:c r="E8" t="n">
        <x:f>ABS(D8)</x:f>
        <x:v>75</x:v>
      </x:c>
      <x:c r="F8" s="22" t="n">
        <x:f>IFERROR(E8/C8,0)</x:f>
        <x:v>0.044964028776978415</x:v>
      </x:c>
      <x:c r="G8" t="str">
        <x:v>Formula columns should calculate error and accuracy</x:v>
      </x:c>
    </x:row>
    <x:row r="9">
      <x:c r="A9" t="n">
        <x:v>45689</x:v>
      </x:c>
      <x:c r="B9" t="n">
        <x:v>1566</x:v>
      </x:c>
      <x:c r="C9" t="n">
        <x:v>1743</x:v>
      </x:c>
      <x:c r="D9" t="n">
        <x:f>C9-B9</x:f>
        <x:v>177</x:v>
      </x:c>
      <x:c r="E9" t="n">
        <x:f>ABS(D9)</x:f>
        <x:v>177</x:v>
      </x:c>
      <x:c r="F9" s="22" t="n">
        <x:f>IFERROR(E9/C9,0)</x:f>
        <x:v>0.10154905335628227</x:v>
      </x:c>
      <x:c r="G9" t="str">
        <x:v>Formula columns should calculate error and accuracy</x:v>
      </x:c>
    </x:row>
    <x:row r="10">
      <x:c r="A10" t="n">
        <x:v>45717</x:v>
      </x:c>
      <x:c r="B10" t="n">
        <x:v>1850</x:v>
      </x:c>
      <x:c r="C10" t="n">
        <x:v>2241</x:v>
      </x:c>
      <x:c r="D10" t="n">
        <x:f>C10-B10</x:f>
        <x:v>391</x:v>
      </x:c>
      <x:c r="E10" t="n">
        <x:f>ABS(D10)</x:f>
        <x:v>391</x:v>
      </x:c>
      <x:c r="F10" s="22" t="n">
        <x:f>IFERROR(E10/C10,0)</x:f>
        <x:v>0.17447568049977688</x:v>
      </x:c>
      <x:c r="G10" t="str">
        <x:v>Formula columns should calculate error and accuracy</x:v>
      </x:c>
    </x:row>
    <x:row r="11">
      <x:c r="A11" t="n">
        <x:v>45748</x:v>
      </x:c>
      <x:c r="B11" t="n">
        <x:v>1782</x:v>
      </x:c>
      <x:c r="C11" t="n">
        <x:v>1551</x:v>
      </x:c>
      <x:c r="D11" t="n">
        <x:f>C11-B11</x:f>
        <x:v>-231</x:v>
      </x:c>
      <x:c r="E11" t="n">
        <x:f>ABS(D11)</x:f>
        <x:v>231</x:v>
      </x:c>
      <x:c r="F11" s="22" t="n">
        <x:f>IFERROR(E11/C11,0)</x:f>
        <x:v>0.14893617021276595</x:v>
      </x:c>
      <x:c r="G11" t="str">
        <x:v>Formula columns should calculate error and accuracy</x:v>
      </x:c>
    </x:row>
    <x:row r="12">
      <x:c r="A12" t="n">
        <x:v>45778</x:v>
      </x:c>
      <x:c r="B12" t="n">
        <x:v>1858</x:v>
      </x:c>
      <x:c r="C12" t="n">
        <x:v>2227</x:v>
      </x:c>
      <x:c r="D12" t="n">
        <x:f>C12-B12</x:f>
        <x:v>369</x:v>
      </x:c>
      <x:c r="E12" t="n">
        <x:f>ABS(D12)</x:f>
        <x:v>369</x:v>
      </x:c>
      <x:c r="F12" s="22" t="n">
        <x:f>IFERROR(E12/C12,0)</x:f>
        <x:v>0.1656937584193983</x:v>
      </x:c>
      <x:c r="G12" t="str">
        <x:v>Formula columns should calculate error and accuracy</x:v>
      </x:c>
    </x:row>
    <x:row r="13">
      <x:c r="A13" t="n">
        <x:v>45809</x:v>
      </x:c>
      <x:c r="B13" t="n">
        <x:v>1707</x:v>
      </x:c>
      <x:c r="C13" t="n">
        <x:v>1760</x:v>
      </x:c>
      <x:c r="D13" t="n">
        <x:f>C13-B13</x:f>
        <x:v>53</x:v>
      </x:c>
      <x:c r="E13" t="n">
        <x:f>ABS(D13)</x:f>
        <x:v>53</x:v>
      </x:c>
      <x:c r="F13" s="22" t="n">
        <x:f>IFERROR(E13/C13,0)</x:f>
        <x:v>0.030113636363636363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91</x:v>
      </x:c>
      <x:c r="E2" t="n">
        <x:v>1313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58</x:v>
      </x:c>
      <x:c r="E3" t="n">
        <x:v>1057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93</x:v>
      </x:c>
      <x:c r="E4" t="n">
        <x:v>1555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57</x:v>
      </x:c>
      <x:c r="E5" t="n">
        <x:v>946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70</x:v>
      </x:c>
      <x:c r="E6" t="n">
        <x:v>1310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86</x:v>
      </x:c>
      <x:c r="E7" t="n">
        <x:v>1208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78</x:v>
      </x:c>
      <x:c r="E8" t="n">
        <x:v>1142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60</x:v>
      </x:c>
      <x:c r="E9" t="n">
        <x:v>776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Monthly</x:v>
      </x:c>
      <x:c r="E2" t="n">
        <x:v>1</x:v>
      </x:c>
      <x:c r="F2" t="n">
        <x:v>156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4</x:v>
      </x:c>
      <x:c r="F3" t="n">
        <x:v>434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4</x:v>
      </x:c>
      <x:c r="F4" t="n">
        <x:v>454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6</x:v>
      </x:c>
      <x:c r="F5" t="n">
        <x:v>682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5</x:v>
      </x:c>
      <x:c r="F6" t="n">
        <x:v>811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104</x:v>
      </x:c>
      <x:c r="F2" t="n">
        <x:v>92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53</x:v>
      </x:c>
      <x:c r="F3" t="n">
        <x:v>93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83</x:v>
      </x:c>
      <x:c r="F4" t="n">
        <x:v>88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20</x:v>
      </x:c>
      <x:c r="F5" t="n">
        <x:v>67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Dove Beauty Bar Dove Cosmetics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Dove Beauty Bar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Cosmetics competitor pricing promotions Bangladesh Dove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Dove Beauty Bar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85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75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