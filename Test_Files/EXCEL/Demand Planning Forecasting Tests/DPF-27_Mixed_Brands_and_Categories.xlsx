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ae398f345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3bb288c623db4aac"/>
    <x:sheet xmlns:r="http://schemas.openxmlformats.org/officeDocument/2006/relationships" name="Historical_Sales" sheetId="2" r:id="R83b352171d3f4f03"/>
    <x:sheet xmlns:r="http://schemas.openxmlformats.org/officeDocument/2006/relationships" name="Inventory" sheetId="3" r:id="R936b100a97324d79"/>
    <x:sheet xmlns:r="http://schemas.openxmlformats.org/officeDocument/2006/relationships" name="Promotions" sheetId="4" r:id="R4044030012a54e7b"/>
    <x:sheet xmlns:r="http://schemas.openxmlformats.org/officeDocument/2006/relationships" name="Competitors" sheetId="5" r:id="R3915bd26a529492e"/>
    <x:sheet xmlns:r="http://schemas.openxmlformats.org/officeDocument/2006/relationships" name="Economic" sheetId="6" r:id="R7dc245133d334af9"/>
    <x:sheet xmlns:r="http://schemas.openxmlformats.org/officeDocument/2006/relationships" name="Lead_Time" sheetId="7" r:id="R204c08bfa69b4502"/>
    <x:sheet xmlns:r="http://schemas.openxmlformats.org/officeDocument/2006/relationships" name="Forecast_Actual" sheetId="8" r:id="Rd4b0ab8f4578497b"/>
    <x:sheet xmlns:r="http://schemas.openxmlformats.org/officeDocument/2006/relationships" name="Regional_Demand_Map" sheetId="9" r:id="R65b1943f088140e4"/>
    <x:sheet xmlns:r="http://schemas.openxmlformats.org/officeDocument/2006/relationships" name="SCM_Flow_Map" sheetId="10" r:id="Red74daa92cd04a6b"/>
    <x:sheet xmlns:r="http://schemas.openxmlformats.org/officeDocument/2006/relationships" name="Customer_Patterns" sheetId="11" r:id="R4960c534e0fe42b0"/>
    <x:sheet xmlns:r="http://schemas.openxmlformats.org/officeDocument/2006/relationships" name="Technology_Data" sheetId="12" r:id="R884a1e91a5dc4225"/>
    <x:sheet xmlns:r="http://schemas.openxmlformats.org/officeDocument/2006/relationships" name="Web_Search_Seeds" sheetId="13" r:id="Re1b2043abe574485"/>
    <x:sheet xmlns:r="http://schemas.openxmlformats.org/officeDocument/2006/relationships" name="Manual_Expert_Opinion" sheetId="14" r:id="Rba9374352c684429"/>
    <x:sheet xmlns:r="http://schemas.openxmlformats.org/officeDocument/2006/relationships" name="Data_Issues" sheetId="15" r:id="R43f0708e35fc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df27678b64d7c" /><Relationship Type="http://schemas.openxmlformats.org/officeDocument/2006/relationships/theme" Target="/xl/theme/theme1.xml" Id="R475eb49586de44d0" /><Relationship Type="http://schemas.openxmlformats.org/officeDocument/2006/relationships/sharedStrings" Target="/xl/sharedStrings.xml" Id="Ra67eb4d53726461d" /><Relationship Type="http://schemas.openxmlformats.org/officeDocument/2006/relationships/worksheet" Target="/xl/worksheets/sheet1.xml" Id="R3bb288c623db4aac" /><Relationship Type="http://schemas.openxmlformats.org/officeDocument/2006/relationships/worksheet" Target="/xl/worksheets/sheet2.xml" Id="R83b352171d3f4f03" /><Relationship Type="http://schemas.openxmlformats.org/officeDocument/2006/relationships/worksheet" Target="/xl/worksheets/sheet3.xml" Id="R936b100a97324d79" /><Relationship Type="http://schemas.openxmlformats.org/officeDocument/2006/relationships/worksheet" Target="/xl/worksheets/sheet4.xml" Id="R4044030012a54e7b" /><Relationship Type="http://schemas.openxmlformats.org/officeDocument/2006/relationships/worksheet" Target="/xl/worksheets/sheet5.xml" Id="R3915bd26a529492e" /><Relationship Type="http://schemas.openxmlformats.org/officeDocument/2006/relationships/worksheet" Target="/xl/worksheets/sheet6.xml" Id="R7dc245133d334af9" /><Relationship Type="http://schemas.openxmlformats.org/officeDocument/2006/relationships/worksheet" Target="/xl/worksheets/sheet7.xml" Id="R204c08bfa69b4502" /><Relationship Type="http://schemas.openxmlformats.org/officeDocument/2006/relationships/worksheet" Target="/xl/worksheets/sheet8.xml" Id="Rd4b0ab8f4578497b" /><Relationship Type="http://schemas.openxmlformats.org/officeDocument/2006/relationships/worksheet" Target="/xl/worksheets/sheet9.xml" Id="R65b1943f088140e4" /><Relationship Type="http://schemas.openxmlformats.org/officeDocument/2006/relationships/worksheet" Target="/xl/worksheets/sheet10.xml" Id="Red74daa92cd04a6b" /><Relationship Type="http://schemas.openxmlformats.org/officeDocument/2006/relationships/worksheet" Target="/xl/worksheets/sheet11.xml" Id="R4960c534e0fe42b0" /><Relationship Type="http://schemas.openxmlformats.org/officeDocument/2006/relationships/worksheet" Target="/xl/worksheets/sheet12.xml" Id="R884a1e91a5dc4225" /><Relationship Type="http://schemas.openxmlformats.org/officeDocument/2006/relationships/worksheet" Target="/xl/worksheets/sheet13.xml" Id="Re1b2043abe574485" /><Relationship Type="http://schemas.openxmlformats.org/officeDocument/2006/relationships/worksheet" Target="/xl/worksheets/sheet14.xml" Id="Rba9374352c684429" /><Relationship Type="http://schemas.openxmlformats.org/officeDocument/2006/relationships/worksheet" Target="/xl/worksheets/sheet15.xml" Id="R43f0708e35fc4e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DPF-27</x:v>
      </x:c>
    </x:row>
    <x:row r="3">
      <x:c r="A3" t="str">
        <x:v>Scenario Title</x:v>
      </x:c>
      <x:c r="B3" t="str">
        <x:v>Mixed Brands and Categories</x:v>
      </x:c>
    </x:row>
    <x:row r="4">
      <x:c r="A4" t="str">
        <x:v>Purpose</x:v>
      </x:c>
      <x:c r="B4" t="str">
        <x:v>Test product/category/brand selection filtering.</x:v>
      </x:c>
    </x:row>
    <x:row r="5">
      <x:c r="A5" t="str">
        <x:v>Product Name</x:v>
      </x:c>
      <x:c r="B5" t="str">
        <x:v>Mixed FMCG Basket</x:v>
      </x:c>
    </x:row>
    <x:row r="6">
      <x:c r="A6" t="str">
        <x:v>Category</x:v>
      </x:c>
      <x:c r="B6" t="str">
        <x:v>Mixed</x:v>
      </x:c>
    </x:row>
    <x:row r="7">
      <x:c r="A7" t="str">
        <x:v>Brand</x:v>
      </x:c>
      <x:c r="B7" t="str">
        <x:v>Multiple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Historical Sales, Product Filtering</x:v>
      </x:c>
    </x:row>
    <x:row r="11">
      <x:c r="A11" t="str">
        <x:v>Recommended Inputs To Tick</x:v>
      </x:c>
      <x:c r="B11" t="str">
        <x:v>Historical Sales Data, Uploaded File Data</x:v>
      </x:c>
    </x:row>
    <x:row r="12">
      <x:c r="A12" t="str">
        <x:v>Recommended Outputs To Tick</x:v>
      </x:c>
      <x:c r="B12" t="str">
        <x:v>Demand Forecast, Sales Trend Analysis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Dove Shampoo</x:v>
      </x:c>
      <x:c r="C2" t="str">
        <x:v>Personal Care</x:v>
      </x:c>
      <x:c r="D2" t="str">
        <x:v>Dove</x:v>
      </x:c>
      <x:c r="E2" t="str">
        <x:v>Chattogram</x:v>
      </x:c>
      <x:c r="F2" t="str">
        <x:v>Online</x:v>
      </x:c>
      <x:c r="G2" t="n">
        <x:v>2038</x:v>
      </x:c>
      <x:c r="H2" t="n">
        <x:v>420</x:v>
      </x:c>
      <x:c r="I2" t="n">
        <x:v>855960</x:v>
      </x:c>
      <x:c r="J2" t="str">
        <x:v>Mixed product row for filter testing</x:v>
      </x:c>
    </x:row>
    <x:row r="3">
      <x:c r="A3" t="n">
        <x:v>45292</x:v>
      </x:c>
      <x:c r="B3" t="str">
        <x:v>Lifebuoy Handwash</x:v>
      </x:c>
      <x:c r="C3" t="str">
        <x:v>Personal Care</x:v>
      </x:c>
      <x:c r="D3" t="str">
        <x:v>Lifebuoy</x:v>
      </x:c>
      <x:c r="E3" t="str">
        <x:v>Rangpur</x:v>
      </x:c>
      <x:c r="F3" t="str">
        <x:v>Wholesale</x:v>
      </x:c>
      <x:c r="G3" t="n">
        <x:v>1044</x:v>
      </x:c>
      <x:c r="H3" t="n">
        <x:v>210</x:v>
      </x:c>
      <x:c r="I3" t="n">
        <x:v>219240</x:v>
      </x:c>
      <x:c r="J3" t="str">
        <x:v>Mixed product row for filter testing</x:v>
      </x:c>
    </x:row>
    <x:row r="4">
      <x:c r="A4" t="n">
        <x:v>45292</x:v>
      </x:c>
      <x:c r="B4" t="str">
        <x:v>Bata Sandal</x:v>
      </x:c>
      <x:c r="C4" t="str">
        <x:v>Footwear</x:v>
      </x:c>
      <x:c r="D4" t="str">
        <x:v>Bata</x:v>
      </x:c>
      <x:c r="E4" t="str">
        <x:v>Rangpur</x:v>
      </x:c>
      <x:c r="F4" t="str">
        <x:v>Retail</x:v>
      </x:c>
      <x:c r="G4" t="n">
        <x:v>489</x:v>
      </x:c>
      <x:c r="H4" t="n">
        <x:v>950</x:v>
      </x:c>
      <x:c r="I4" t="n">
        <x:v>464550</x:v>
      </x:c>
      <x:c r="J4" t="str">
        <x:v>Mixed product row for filter testing</x:v>
      </x:c>
    </x:row>
    <x:row r="5">
      <x:c r="A5" t="n">
        <x:v>45292</x:v>
      </x:c>
      <x:c r="B5" t="str">
        <x:v>Trunk T-Shirt</x:v>
      </x:c>
      <x:c r="C5" t="str">
        <x:v>Clothing</x:v>
      </x:c>
      <x:c r="D5" t="str">
        <x:v>Trunk</x:v>
      </x:c>
      <x:c r="E5" t="str">
        <x:v>Chattogram</x:v>
      </x:c>
      <x:c r="F5" t="str">
        <x:v>Modern Trade</x:v>
      </x:c>
      <x:c r="G5" t="n">
        <x:v>1203</x:v>
      </x:c>
      <x:c r="H5" t="n">
        <x:v>780</x:v>
      </x:c>
      <x:c r="I5" t="n">
        <x:v>938340</x:v>
      </x:c>
      <x:c r="J5" t="str">
        <x:v>Mixed product row for filter testing</x:v>
      </x:c>
    </x:row>
    <x:row r="6">
      <x:c r="A6" t="n">
        <x:v>45292</x:v>
      </x:c>
      <x:c r="B6" t="str">
        <x:v>Samsung Phone</x:v>
      </x:c>
      <x:c r="C6" t="str">
        <x:v>Electronics</x:v>
      </x:c>
      <x:c r="D6" t="str">
        <x:v>Samsung</x:v>
      </x:c>
      <x:c r="E6" t="str">
        <x:v>Khulna</x:v>
      </x:c>
      <x:c r="F6" t="str">
        <x:v>Modern Trade</x:v>
      </x:c>
      <x:c r="G6" t="n">
        <x:v>1629</x:v>
      </x:c>
      <x:c r="H6" t="n">
        <x:v>35000</x:v>
      </x:c>
      <x:c r="I6" t="n">
        <x:v>57015000</x:v>
      </x:c>
      <x:c r="J6" t="str">
        <x:v>Mixed product row for filter testing</x:v>
      </x:c>
    </x:row>
    <x:row r="7">
      <x:c r="A7" t="n">
        <x:v>45323</x:v>
      </x:c>
      <x:c r="B7" t="str">
        <x:v>Dove Shampoo</x:v>
      </x:c>
      <x:c r="C7" t="str">
        <x:v>Personal Care</x:v>
      </x:c>
      <x:c r="D7" t="str">
        <x:v>Dove</x:v>
      </x:c>
      <x:c r="E7" t="str">
        <x:v>Chattogram</x:v>
      </x:c>
      <x:c r="F7" t="str">
        <x:v>Online</x:v>
      </x:c>
      <x:c r="G7" t="n">
        <x:v>1641</x:v>
      </x:c>
      <x:c r="H7" t="n">
        <x:v>420</x:v>
      </x:c>
      <x:c r="I7" t="n">
        <x:v>689220</x:v>
      </x:c>
      <x:c r="J7" t="str">
        <x:v>Mixed product row for filter testing</x:v>
      </x:c>
    </x:row>
    <x:row r="8">
      <x:c r="A8" t="n">
        <x:v>45323</x:v>
      </x:c>
      <x:c r="B8" t="str">
        <x:v>Lifebuoy Handwash</x:v>
      </x:c>
      <x:c r="C8" t="str">
        <x:v>Personal Care</x:v>
      </x:c>
      <x:c r="D8" t="str">
        <x:v>Lifebuoy</x:v>
      </x:c>
      <x:c r="E8" t="str">
        <x:v>Dhaka</x:v>
      </x:c>
      <x:c r="F8" t="str">
        <x:v>Wholesale</x:v>
      </x:c>
      <x:c r="G8" t="n">
        <x:v>2051</x:v>
      </x:c>
      <x:c r="H8" t="n">
        <x:v>210</x:v>
      </x:c>
      <x:c r="I8" t="n">
        <x:v>430710</x:v>
      </x:c>
      <x:c r="J8" t="str">
        <x:v>Mixed product row for filter testing</x:v>
      </x:c>
    </x:row>
    <x:row r="9">
      <x:c r="A9" t="n">
        <x:v>45323</x:v>
      </x:c>
      <x:c r="B9" t="str">
        <x:v>Bata Sandal</x:v>
      </x:c>
      <x:c r="C9" t="str">
        <x:v>Footwear</x:v>
      </x:c>
      <x:c r="D9" t="str">
        <x:v>Bata</x:v>
      </x:c>
      <x:c r="E9" t="str">
        <x:v>Chattogram</x:v>
      </x:c>
      <x:c r="F9" t="str">
        <x:v>Modern Trade</x:v>
      </x:c>
      <x:c r="G9" t="n">
        <x:v>1026</x:v>
      </x:c>
      <x:c r="H9" t="n">
        <x:v>950</x:v>
      </x:c>
      <x:c r="I9" t="n">
        <x:v>974700</x:v>
      </x:c>
      <x:c r="J9" t="str">
        <x:v>Mixed product row for filter testing</x:v>
      </x:c>
    </x:row>
    <x:row r="10">
      <x:c r="A10" t="n">
        <x:v>45323</x:v>
      </x:c>
      <x:c r="B10" t="str">
        <x:v>Trunk T-Shirt</x:v>
      </x:c>
      <x:c r="C10" t="str">
        <x:v>Clothing</x:v>
      </x:c>
      <x:c r="D10" t="str">
        <x:v>Trunk</x:v>
      </x:c>
      <x:c r="E10" t="str">
        <x:v>Rangpur</x:v>
      </x:c>
      <x:c r="F10" t="str">
        <x:v>Retail</x:v>
      </x:c>
      <x:c r="G10" t="n">
        <x:v>1357</x:v>
      </x:c>
      <x:c r="H10" t="n">
        <x:v>780</x:v>
      </x:c>
      <x:c r="I10" t="n">
        <x:v>1058460</x:v>
      </x:c>
      <x:c r="J10" t="str">
        <x:v>Mixed product row for filter testing</x:v>
      </x:c>
    </x:row>
    <x:row r="11">
      <x:c r="A11" t="n">
        <x:v>45323</x:v>
      </x:c>
      <x:c r="B11" t="str">
        <x:v>Samsung Phone</x:v>
      </x:c>
      <x:c r="C11" t="str">
        <x:v>Electronics</x:v>
      </x:c>
      <x:c r="D11" t="str">
        <x:v>Samsung</x:v>
      </x:c>
      <x:c r="E11" t="str">
        <x:v>Dhaka</x:v>
      </x:c>
      <x:c r="F11" t="str">
        <x:v>Retail</x:v>
      </x:c>
      <x:c r="G11" t="n">
        <x:v>692</x:v>
      </x:c>
      <x:c r="H11" t="n">
        <x:v>35000</x:v>
      </x:c>
      <x:c r="I11" t="n">
        <x:v>24220000</x:v>
      </x:c>
      <x:c r="J11" t="str">
        <x:v>Mixed product row for filter testing</x:v>
      </x:c>
    </x:row>
    <x:row r="12">
      <x:c r="A12" t="n">
        <x:v>45352</x:v>
      </x:c>
      <x:c r="B12" t="str">
        <x:v>Dove Shampoo</x:v>
      </x:c>
      <x:c r="C12" t="str">
        <x:v>Personal Care</x:v>
      </x:c>
      <x:c r="D12" t="str">
        <x:v>Dove</x:v>
      </x:c>
      <x:c r="E12" t="str">
        <x:v>Mymensingh</x:v>
      </x:c>
      <x:c r="F12" t="str">
        <x:v>Retail</x:v>
      </x:c>
      <x:c r="G12" t="n">
        <x:v>1366</x:v>
      </x:c>
      <x:c r="H12" t="n">
        <x:v>420</x:v>
      </x:c>
      <x:c r="I12" t="n">
        <x:v>573720</x:v>
      </x:c>
      <x:c r="J12" t="str">
        <x:v>Mixed product row for filter testing</x:v>
      </x:c>
    </x:row>
    <x:row r="13">
      <x:c r="A13" t="n">
        <x:v>45352</x:v>
      </x:c>
      <x:c r="B13" t="str">
        <x:v>Lifebuoy Handwash</x:v>
      </x:c>
      <x:c r="C13" t="str">
        <x:v>Personal Care</x:v>
      </x:c>
      <x:c r="D13" t="str">
        <x:v>Lifebuoy</x:v>
      </x:c>
      <x:c r="E13" t="str">
        <x:v>Rajshahi</x:v>
      </x:c>
      <x:c r="F13" t="str">
        <x:v>Online</x:v>
      </x:c>
      <x:c r="G13" t="n">
        <x:v>518</x:v>
      </x:c>
      <x:c r="H13" t="n">
        <x:v>210</x:v>
      </x:c>
      <x:c r="I13" t="n">
        <x:v>108780</x:v>
      </x:c>
      <x:c r="J13" t="str">
        <x:v>Mixed product row for filter testing</x:v>
      </x:c>
    </x:row>
    <x:row r="14">
      <x:c r="A14" t="n">
        <x:v>45352</x:v>
      </x:c>
      <x:c r="B14" t="str">
        <x:v>Bata Sandal</x:v>
      </x:c>
      <x:c r="C14" t="str">
        <x:v>Footwear</x:v>
      </x:c>
      <x:c r="D14" t="str">
        <x:v>Bata</x:v>
      </x:c>
      <x:c r="E14" t="str">
        <x:v>Mymensingh</x:v>
      </x:c>
      <x:c r="F14" t="str">
        <x:v>Wholesale</x:v>
      </x:c>
      <x:c r="G14" t="n">
        <x:v>1711</x:v>
      </x:c>
      <x:c r="H14" t="n">
        <x:v>950</x:v>
      </x:c>
      <x:c r="I14" t="n">
        <x:v>1625450</x:v>
      </x:c>
      <x:c r="J14" t="str">
        <x:v>Mixed product row for filter testing</x:v>
      </x:c>
    </x:row>
    <x:row r="15">
      <x:c r="A15" t="n">
        <x:v>45352</x:v>
      </x:c>
      <x:c r="B15" t="str">
        <x:v>Trunk T-Shirt</x:v>
      </x:c>
      <x:c r="C15" t="str">
        <x:v>Clothing</x:v>
      </x:c>
      <x:c r="D15" t="str">
        <x:v>Trunk</x:v>
      </x:c>
      <x:c r="E15" t="str">
        <x:v>Rangpur</x:v>
      </x:c>
      <x:c r="F15" t="str">
        <x:v>Online</x:v>
      </x:c>
      <x:c r="G15" t="n">
        <x:v>2332</x:v>
      </x:c>
      <x:c r="H15" t="n">
        <x:v>780</x:v>
      </x:c>
      <x:c r="I15" t="n">
        <x:v>1818960</x:v>
      </x:c>
      <x:c r="J15" t="str">
        <x:v>Mixed product row for filter testing</x:v>
      </x:c>
    </x:row>
    <x:row r="16">
      <x:c r="A16" t="n">
        <x:v>45352</x:v>
      </x:c>
      <x:c r="B16" t="str">
        <x:v>Samsung Phone</x:v>
      </x:c>
      <x:c r="C16" t="str">
        <x:v>Electronics</x:v>
      </x:c>
      <x:c r="D16" t="str">
        <x:v>Samsung</x:v>
      </x:c>
      <x:c r="E16" t="str">
        <x:v>Chattogram</x:v>
      </x:c>
      <x:c r="F16" t="str">
        <x:v>Modern Trade</x:v>
      </x:c>
      <x:c r="G16" t="n">
        <x:v>1819</x:v>
      </x:c>
      <x:c r="H16" t="n">
        <x:v>35000</x:v>
      </x:c>
      <x:c r="I16" t="n">
        <x:v>63665000</x:v>
      </x:c>
      <x:c r="J16" t="str">
        <x:v>Mixed product row for filter testing</x:v>
      </x:c>
    </x:row>
    <x:row r="17">
      <x:c r="A17" t="n">
        <x:v>45383</x:v>
      </x:c>
      <x:c r="B17" t="str">
        <x:v>Dove Shampoo</x:v>
      </x:c>
      <x:c r="C17" t="str">
        <x:v>Personal Care</x:v>
      </x:c>
      <x:c r="D17" t="str">
        <x:v>Dove</x:v>
      </x:c>
      <x:c r="E17" t="str">
        <x:v>Khulna</x:v>
      </x:c>
      <x:c r="F17" t="str">
        <x:v>Retail</x:v>
      </x:c>
      <x:c r="G17" t="n">
        <x:v>1791</x:v>
      </x:c>
      <x:c r="H17" t="n">
        <x:v>420</x:v>
      </x:c>
      <x:c r="I17" t="n">
        <x:v>752220</x:v>
      </x:c>
      <x:c r="J17" t="str">
        <x:v>Mixed product row for filter testing</x:v>
      </x:c>
    </x:row>
    <x:row r="18">
      <x:c r="A18" t="n">
        <x:v>45383</x:v>
      </x:c>
      <x:c r="B18" t="str">
        <x:v>Lifebuoy Handwash</x:v>
      </x:c>
      <x:c r="C18" t="str">
        <x:v>Personal Care</x:v>
      </x:c>
      <x:c r="D18" t="str">
        <x:v>Lifebuoy</x:v>
      </x:c>
      <x:c r="E18" t="str">
        <x:v>Rajshahi</x:v>
      </x:c>
      <x:c r="F18" t="str">
        <x:v>Modern Trade</x:v>
      </x:c>
      <x:c r="G18" t="n">
        <x:v>1637</x:v>
      </x:c>
      <x:c r="H18" t="n">
        <x:v>210</x:v>
      </x:c>
      <x:c r="I18" t="n">
        <x:v>343770</x:v>
      </x:c>
      <x:c r="J18" t="str">
        <x:v>Mixed product row for filter testing</x:v>
      </x:c>
    </x:row>
    <x:row r="19">
      <x:c r="A19" t="n">
        <x:v>45383</x:v>
      </x:c>
      <x:c r="B19" t="str">
        <x:v>Bata Sandal</x:v>
      </x:c>
      <x:c r="C19" t="str">
        <x:v>Footwear</x:v>
      </x:c>
      <x:c r="D19" t="str">
        <x:v>Bata</x:v>
      </x:c>
      <x:c r="E19" t="str">
        <x:v>Rajshahi</x:v>
      </x:c>
      <x:c r="F19" t="str">
        <x:v>Wholesale</x:v>
      </x:c>
      <x:c r="G19" t="n">
        <x:v>1941</x:v>
      </x:c>
      <x:c r="H19" t="n">
        <x:v>950</x:v>
      </x:c>
      <x:c r="I19" t="n">
        <x:v>1843950</x:v>
      </x:c>
      <x:c r="J19" t="str">
        <x:v>Mixed product row for filter testing</x:v>
      </x:c>
    </x:row>
    <x:row r="20">
      <x:c r="A20" t="n">
        <x:v>45383</x:v>
      </x:c>
      <x:c r="B20" t="str">
        <x:v>Trunk T-Shirt</x:v>
      </x:c>
      <x:c r="C20" t="str">
        <x:v>Clothing</x:v>
      </x:c>
      <x:c r="D20" t="str">
        <x:v>Trunk</x:v>
      </x:c>
      <x:c r="E20" t="str">
        <x:v>Barishal</x:v>
      </x:c>
      <x:c r="F20" t="str">
        <x:v>Wholesale</x:v>
      </x:c>
      <x:c r="G20" t="n">
        <x:v>526</x:v>
      </x:c>
      <x:c r="H20" t="n">
        <x:v>780</x:v>
      </x:c>
      <x:c r="I20" t="n">
        <x:v>410280</x:v>
      </x:c>
      <x:c r="J20" t="str">
        <x:v>Mixed product row for filter testing</x:v>
      </x:c>
    </x:row>
    <x:row r="21">
      <x:c r="A21" t="n">
        <x:v>45383</x:v>
      </x:c>
      <x:c r="B21" t="str">
        <x:v>Samsung Phone</x:v>
      </x:c>
      <x:c r="C21" t="str">
        <x:v>Electronics</x:v>
      </x:c>
      <x:c r="D21" t="str">
        <x:v>Samsung</x:v>
      </x:c>
      <x:c r="E21" t="str">
        <x:v>Rangpur</x:v>
      </x:c>
      <x:c r="F21" t="str">
        <x:v>Wholesale</x:v>
      </x:c>
      <x:c r="G21" t="n">
        <x:v>368</x:v>
      </x:c>
      <x:c r="H21" t="n">
        <x:v>35000</x:v>
      </x:c>
      <x:c r="I21" t="n">
        <x:v>12880000</x:v>
      </x:c>
      <x:c r="J21" t="str">
        <x:v>Mixed product row for filter testing</x:v>
      </x:c>
    </x:row>
    <x:row r="22">
      <x:c r="A22" t="n">
        <x:v>45413</x:v>
      </x:c>
      <x:c r="B22" t="str">
        <x:v>Dove Shampoo</x:v>
      </x:c>
      <x:c r="C22" t="str">
        <x:v>Personal Care</x:v>
      </x:c>
      <x:c r="D22" t="str">
        <x:v>Dove</x:v>
      </x:c>
      <x:c r="E22" t="str">
        <x:v>Chattogram</x:v>
      </x:c>
      <x:c r="F22" t="str">
        <x:v>Modern Trade</x:v>
      </x:c>
      <x:c r="G22" t="n">
        <x:v>897</x:v>
      </x:c>
      <x:c r="H22" t="n">
        <x:v>420</x:v>
      </x:c>
      <x:c r="I22" t="n">
        <x:v>376740</x:v>
      </x:c>
      <x:c r="J22" t="str">
        <x:v>Mixed product row for filter testing</x:v>
      </x:c>
    </x:row>
    <x:row r="23">
      <x:c r="A23" t="n">
        <x:v>45413</x:v>
      </x:c>
      <x:c r="B23" t="str">
        <x:v>Lifebuoy Handwash</x:v>
      </x:c>
      <x:c r="C23" t="str">
        <x:v>Personal Care</x:v>
      </x:c>
      <x:c r="D23" t="str">
        <x:v>Lifebuoy</x:v>
      </x:c>
      <x:c r="E23" t="str">
        <x:v>Rajshahi</x:v>
      </x:c>
      <x:c r="F23" t="str">
        <x:v>Retail</x:v>
      </x:c>
      <x:c r="G23" t="n">
        <x:v>495</x:v>
      </x:c>
      <x:c r="H23" t="n">
        <x:v>210</x:v>
      </x:c>
      <x:c r="I23" t="n">
        <x:v>103950</x:v>
      </x:c>
      <x:c r="J23" t="str">
        <x:v>Mixed product row for filter testing</x:v>
      </x:c>
    </x:row>
    <x:row r="24">
      <x:c r="A24" t="n">
        <x:v>45413</x:v>
      </x:c>
      <x:c r="B24" t="str">
        <x:v>Bata Sandal</x:v>
      </x:c>
      <x:c r="C24" t="str">
        <x:v>Footwear</x:v>
      </x:c>
      <x:c r="D24" t="str">
        <x:v>Bata</x:v>
      </x:c>
      <x:c r="E24" t="str">
        <x:v>Barishal</x:v>
      </x:c>
      <x:c r="F24" t="str">
        <x:v>Online</x:v>
      </x:c>
      <x:c r="G24" t="n">
        <x:v>327</x:v>
      </x:c>
      <x:c r="H24" t="n">
        <x:v>950</x:v>
      </x:c>
      <x:c r="I24" t="n">
        <x:v>310650</x:v>
      </x:c>
      <x:c r="J24" t="str">
        <x:v>Mixed product row for filter testing</x:v>
      </x:c>
    </x:row>
    <x:row r="25">
      <x:c r="A25" t="n">
        <x:v>45413</x:v>
      </x:c>
      <x:c r="B25" t="str">
        <x:v>Trunk T-Shirt</x:v>
      </x:c>
      <x:c r="C25" t="str">
        <x:v>Clothing</x:v>
      </x:c>
      <x:c r="D25" t="str">
        <x:v>Trunk</x:v>
      </x:c>
      <x:c r="E25" t="str">
        <x:v>Rajshahi</x:v>
      </x:c>
      <x:c r="F25" t="str">
        <x:v>Retail</x:v>
      </x:c>
      <x:c r="G25" t="n">
        <x:v>635</x:v>
      </x:c>
      <x:c r="H25" t="n">
        <x:v>780</x:v>
      </x:c>
      <x:c r="I25" t="n">
        <x:v>495300</x:v>
      </x:c>
      <x:c r="J25" t="str">
        <x:v>Mixed product row for filter testing</x:v>
      </x:c>
    </x:row>
    <x:row r="26">
      <x:c r="A26" t="n">
        <x:v>45413</x:v>
      </x:c>
      <x:c r="B26" t="str">
        <x:v>Samsung Phone</x:v>
      </x:c>
      <x:c r="C26" t="str">
        <x:v>Electronics</x:v>
      </x:c>
      <x:c r="D26" t="str">
        <x:v>Samsung</x:v>
      </x:c>
      <x:c r="E26" t="str">
        <x:v>Rajshahi</x:v>
      </x:c>
      <x:c r="F26" t="str">
        <x:v>Online</x:v>
      </x:c>
      <x:c r="G26" t="n">
        <x:v>2390</x:v>
      </x:c>
      <x:c r="H26" t="n">
        <x:v>35000</x:v>
      </x:c>
      <x:c r="I26" t="n">
        <x:v>83650000</x:v>
      </x:c>
      <x:c r="J26" t="str">
        <x:v>Mixed product row for filter testing</x:v>
      </x:c>
    </x:row>
    <x:row r="27">
      <x:c r="A27" t="n">
        <x:v>45444</x:v>
      </x:c>
      <x:c r="B27" t="str">
        <x:v>Dove Shampoo</x:v>
      </x:c>
      <x:c r="C27" t="str">
        <x:v>Personal Care</x:v>
      </x:c>
      <x:c r="D27" t="str">
        <x:v>Dove</x:v>
      </x:c>
      <x:c r="E27" t="str">
        <x:v>Barishal</x:v>
      </x:c>
      <x:c r="F27" t="str">
        <x:v>Online</x:v>
      </x:c>
      <x:c r="G27" t="n">
        <x:v>1074</x:v>
      </x:c>
      <x:c r="H27" t="n">
        <x:v>420</x:v>
      </x:c>
      <x:c r="I27" t="n">
        <x:v>451080</x:v>
      </x:c>
      <x:c r="J27" t="str">
        <x:v>Mixed product row for filter testing</x:v>
      </x:c>
    </x:row>
    <x:row r="28">
      <x:c r="A28" t="n">
        <x:v>45444</x:v>
      </x:c>
      <x:c r="B28" t="str">
        <x:v>Lifebuoy Handwash</x:v>
      </x:c>
      <x:c r="C28" t="str">
        <x:v>Personal Care</x:v>
      </x:c>
      <x:c r="D28" t="str">
        <x:v>Lifebuoy</x:v>
      </x:c>
      <x:c r="E28" t="str">
        <x:v>Khulna</x:v>
      </x:c>
      <x:c r="F28" t="str">
        <x:v>Online</x:v>
      </x:c>
      <x:c r="G28" t="n">
        <x:v>131</x:v>
      </x:c>
      <x:c r="H28" t="n">
        <x:v>210</x:v>
      </x:c>
      <x:c r="I28" t="n">
        <x:v>27510</x:v>
      </x:c>
      <x:c r="J28" t="str">
        <x:v>Mixed product row for filter testing</x:v>
      </x:c>
    </x:row>
    <x:row r="29">
      <x:c r="A29" t="n">
        <x:v>45444</x:v>
      </x:c>
      <x:c r="B29" t="str">
        <x:v>Bata Sandal</x:v>
      </x:c>
      <x:c r="C29" t="str">
        <x:v>Footwear</x:v>
      </x:c>
      <x:c r="D29" t="str">
        <x:v>Bata</x:v>
      </x:c>
      <x:c r="E29" t="str">
        <x:v>Khulna</x:v>
      </x:c>
      <x:c r="F29" t="str">
        <x:v>Online</x:v>
      </x:c>
      <x:c r="G29" t="n">
        <x:v>652</x:v>
      </x:c>
      <x:c r="H29" t="n">
        <x:v>950</x:v>
      </x:c>
      <x:c r="I29" t="n">
        <x:v>619400</x:v>
      </x:c>
      <x:c r="J29" t="str">
        <x:v>Mixed product row for filter testing</x:v>
      </x:c>
    </x:row>
    <x:row r="30">
      <x:c r="A30" t="n">
        <x:v>45444</x:v>
      </x:c>
      <x:c r="B30" t="str">
        <x:v>Trunk T-Shirt</x:v>
      </x:c>
      <x:c r="C30" t="str">
        <x:v>Clothing</x:v>
      </x:c>
      <x:c r="D30" t="str">
        <x:v>Trunk</x:v>
      </x:c>
      <x:c r="E30" t="str">
        <x:v>Dhaka</x:v>
      </x:c>
      <x:c r="F30" t="str">
        <x:v>Online</x:v>
      </x:c>
      <x:c r="G30" t="n">
        <x:v>570</x:v>
      </x:c>
      <x:c r="H30" t="n">
        <x:v>780</x:v>
      </x:c>
      <x:c r="I30" t="n">
        <x:v>444600</x:v>
      </x:c>
      <x:c r="J30" t="str">
        <x:v>Mixed product row for filter testing</x:v>
      </x:c>
    </x:row>
    <x:row r="31">
      <x:c r="A31" t="n">
        <x:v>45444</x:v>
      </x:c>
      <x:c r="B31" t="str">
        <x:v>Samsung Phone</x:v>
      </x:c>
      <x:c r="C31" t="str">
        <x:v>Electronics</x:v>
      </x:c>
      <x:c r="D31" t="str">
        <x:v>Samsung</x:v>
      </x:c>
      <x:c r="E31" t="str">
        <x:v>Barishal</x:v>
      </x:c>
      <x:c r="F31" t="str">
        <x:v>Online</x:v>
      </x:c>
      <x:c r="G31" t="n">
        <x:v>180</x:v>
      </x:c>
      <x:c r="H31" t="n">
        <x:v>35000</x:v>
      </x:c>
      <x:c r="I31" t="n">
        <x:v>6300000</x:v>
      </x:c>
      <x:c r="J31" t="str">
        <x:v>Mixed product row for filter testing</x:v>
      </x:c>
    </x:row>
    <x:row r="32">
      <x:c r="A32" t="n">
        <x:v>45474</x:v>
      </x:c>
      <x:c r="B32" t="str">
        <x:v>Dove Shampoo</x:v>
      </x:c>
      <x:c r="C32" t="str">
        <x:v>Personal Care</x:v>
      </x:c>
      <x:c r="D32" t="str">
        <x:v>Dove</x:v>
      </x:c>
      <x:c r="E32" t="str">
        <x:v>Dhaka</x:v>
      </x:c>
      <x:c r="F32" t="str">
        <x:v>Online</x:v>
      </x:c>
      <x:c r="G32" t="n">
        <x:v>1446</x:v>
      </x:c>
      <x:c r="H32" t="n">
        <x:v>420</x:v>
      </x:c>
      <x:c r="I32" t="n">
        <x:v>607320</x:v>
      </x:c>
      <x:c r="J32" t="str">
        <x:v>Mixed product row for filter testing</x:v>
      </x:c>
    </x:row>
    <x:row r="33">
      <x:c r="A33" t="n">
        <x:v>45474</x:v>
      </x:c>
      <x:c r="B33" t="str">
        <x:v>Lifebuoy Handwash</x:v>
      </x:c>
      <x:c r="C33" t="str">
        <x:v>Personal Care</x:v>
      </x:c>
      <x:c r="D33" t="str">
        <x:v>Lifebuoy</x:v>
      </x:c>
      <x:c r="E33" t="str">
        <x:v>Dhaka</x:v>
      </x:c>
      <x:c r="F33" t="str">
        <x:v>Online</x:v>
      </x:c>
      <x:c r="G33" t="n">
        <x:v>1206</x:v>
      </x:c>
      <x:c r="H33" t="n">
        <x:v>210</x:v>
      </x:c>
      <x:c r="I33" t="n">
        <x:v>253260</x:v>
      </x:c>
      <x:c r="J33" t="str">
        <x:v>Mixed product row for filter testing</x:v>
      </x:c>
    </x:row>
    <x:row r="34">
      <x:c r="A34" t="n">
        <x:v>45474</x:v>
      </x:c>
      <x:c r="B34" t="str">
        <x:v>Bata Sandal</x:v>
      </x:c>
      <x:c r="C34" t="str">
        <x:v>Footwear</x:v>
      </x:c>
      <x:c r="D34" t="str">
        <x:v>Bata</x:v>
      </x:c>
      <x:c r="E34" t="str">
        <x:v>Chattogram</x:v>
      </x:c>
      <x:c r="F34" t="str">
        <x:v>Retail</x:v>
      </x:c>
      <x:c r="G34" t="n">
        <x:v>1844</x:v>
      </x:c>
      <x:c r="H34" t="n">
        <x:v>950</x:v>
      </x:c>
      <x:c r="I34" t="n">
        <x:v>1751800</x:v>
      </x:c>
      <x:c r="J34" t="str">
        <x:v>Mixed product row for filter testing</x:v>
      </x:c>
    </x:row>
    <x:row r="35">
      <x:c r="A35" t="n">
        <x:v>45474</x:v>
      </x:c>
      <x:c r="B35" t="str">
        <x:v>Trunk T-Shirt</x:v>
      </x:c>
      <x:c r="C35" t="str">
        <x:v>Clothing</x:v>
      </x:c>
      <x:c r="D35" t="str">
        <x:v>Trunk</x:v>
      </x:c>
      <x:c r="E35" t="str">
        <x:v>Mymensingh</x:v>
      </x:c>
      <x:c r="F35" t="str">
        <x:v>Wholesale</x:v>
      </x:c>
      <x:c r="G35" t="n">
        <x:v>2070</x:v>
      </x:c>
      <x:c r="H35" t="n">
        <x:v>780</x:v>
      </x:c>
      <x:c r="I35" t="n">
        <x:v>1614600</x:v>
      </x:c>
      <x:c r="J35" t="str">
        <x:v>Mixed product row for filter testing</x:v>
      </x:c>
    </x:row>
    <x:row r="36">
      <x:c r="A36" t="n">
        <x:v>45474</x:v>
      </x:c>
      <x:c r="B36" t="str">
        <x:v>Samsung Phone</x:v>
      </x:c>
      <x:c r="C36" t="str">
        <x:v>Electronics</x:v>
      </x:c>
      <x:c r="D36" t="str">
        <x:v>Samsung</x:v>
      </x:c>
      <x:c r="E36" t="str">
        <x:v>Chattogram</x:v>
      </x:c>
      <x:c r="F36" t="str">
        <x:v>Modern Trade</x:v>
      </x:c>
      <x:c r="G36" t="n">
        <x:v>2222</x:v>
      </x:c>
      <x:c r="H36" t="n">
        <x:v>35000</x:v>
      </x:c>
      <x:c r="I36" t="n">
        <x:v>77770000</x:v>
      </x:c>
      <x:c r="J36" t="str">
        <x:v>Mixed product row for filter testing</x:v>
      </x:c>
    </x:row>
    <x:row r="37">
      <x:c r="A37" t="n">
        <x:v>45505</x:v>
      </x:c>
      <x:c r="B37" t="str">
        <x:v>Dove Shampoo</x:v>
      </x:c>
      <x:c r="C37" t="str">
        <x:v>Personal Care</x:v>
      </x:c>
      <x:c r="D37" t="str">
        <x:v>Dove</x:v>
      </x:c>
      <x:c r="E37" t="str">
        <x:v>Rajshahi</x:v>
      </x:c>
      <x:c r="F37" t="str">
        <x:v>Retail</x:v>
      </x:c>
      <x:c r="G37" t="n">
        <x:v>2183</x:v>
      </x:c>
      <x:c r="H37" t="n">
        <x:v>420</x:v>
      </x:c>
      <x:c r="I37" t="n">
        <x:v>916860</x:v>
      </x:c>
      <x:c r="J37" t="str">
        <x:v>Mixed product row for filter testing</x:v>
      </x:c>
    </x:row>
    <x:row r="38">
      <x:c r="A38" t="n">
        <x:v>45505</x:v>
      </x:c>
      <x:c r="B38" t="str">
        <x:v>Lifebuoy Handwash</x:v>
      </x:c>
      <x:c r="C38" t="str">
        <x:v>Personal Care</x:v>
      </x:c>
      <x:c r="D38" t="str">
        <x:v>Lifebuoy</x:v>
      </x:c>
      <x:c r="E38" t="str">
        <x:v>Khulna</x:v>
      </x:c>
      <x:c r="F38" t="str">
        <x:v>Modern Trade</x:v>
      </x:c>
      <x:c r="G38" t="n">
        <x:v>2255</x:v>
      </x:c>
      <x:c r="H38" t="n">
        <x:v>210</x:v>
      </x:c>
      <x:c r="I38" t="n">
        <x:v>473550</x:v>
      </x:c>
      <x:c r="J38" t="str">
        <x:v>Mixed product row for filter testing</x:v>
      </x:c>
    </x:row>
    <x:row r="39">
      <x:c r="A39" t="n">
        <x:v>45505</x:v>
      </x:c>
      <x:c r="B39" t="str">
        <x:v>Bata Sandal</x:v>
      </x:c>
      <x:c r="C39" t="str">
        <x:v>Footwear</x:v>
      </x:c>
      <x:c r="D39" t="str">
        <x:v>Bata</x:v>
      </x:c>
      <x:c r="E39" t="str">
        <x:v>Dhaka</x:v>
      </x:c>
      <x:c r="F39" t="str">
        <x:v>Modern Trade</x:v>
      </x:c>
      <x:c r="G39" t="n">
        <x:v>247</x:v>
      </x:c>
      <x:c r="H39" t="n">
        <x:v>950</x:v>
      </x:c>
      <x:c r="I39" t="n">
        <x:v>234650</x:v>
      </x:c>
      <x:c r="J39" t="str">
        <x:v>Mixed product row for filter testing</x:v>
      </x:c>
    </x:row>
    <x:row r="40">
      <x:c r="A40" t="n">
        <x:v>45505</x:v>
      </x:c>
      <x:c r="B40" t="str">
        <x:v>Trunk T-Shirt</x:v>
      </x:c>
      <x:c r="C40" t="str">
        <x:v>Clothing</x:v>
      </x:c>
      <x:c r="D40" t="str">
        <x:v>Trunk</x:v>
      </x:c>
      <x:c r="E40" t="str">
        <x:v>Rangpur</x:v>
      </x:c>
      <x:c r="F40" t="str">
        <x:v>Retail</x:v>
      </x:c>
      <x:c r="G40" t="n">
        <x:v>1765</x:v>
      </x:c>
      <x:c r="H40" t="n">
        <x:v>780</x:v>
      </x:c>
      <x:c r="I40" t="n">
        <x:v>1376700</x:v>
      </x:c>
      <x:c r="J40" t="str">
        <x:v>Mixed product row for filter testing</x:v>
      </x:c>
    </x:row>
    <x:row r="41">
      <x:c r="A41" t="n">
        <x:v>45505</x:v>
      </x:c>
      <x:c r="B41" t="str">
        <x:v>Samsung Phone</x:v>
      </x:c>
      <x:c r="C41" t="str">
        <x:v>Electronics</x:v>
      </x:c>
      <x:c r="D41" t="str">
        <x:v>Samsung</x:v>
      </x:c>
      <x:c r="E41" t="str">
        <x:v>Mymensingh</x:v>
      </x:c>
      <x:c r="F41" t="str">
        <x:v>Retail</x:v>
      </x:c>
      <x:c r="G41" t="n">
        <x:v>2128</x:v>
      </x:c>
      <x:c r="H41" t="n">
        <x:v>35000</x:v>
      </x:c>
      <x:c r="I41" t="n">
        <x:v>74480000</x:v>
      </x:c>
      <x:c r="J41" t="str">
        <x:v>Mixed product row for filter testing</x:v>
      </x:c>
    </x:row>
    <x:row r="42">
      <x:c r="A42" t="n">
        <x:v>45536</x:v>
      </x:c>
      <x:c r="B42" t="str">
        <x:v>Dove Shampoo</x:v>
      </x:c>
      <x:c r="C42" t="str">
        <x:v>Personal Care</x:v>
      </x:c>
      <x:c r="D42" t="str">
        <x:v>Dove</x:v>
      </x:c>
      <x:c r="E42" t="str">
        <x:v>Barishal</x:v>
      </x:c>
      <x:c r="F42" t="str">
        <x:v>Online</x:v>
      </x:c>
      <x:c r="G42" t="n">
        <x:v>450</x:v>
      </x:c>
      <x:c r="H42" t="n">
        <x:v>420</x:v>
      </x:c>
      <x:c r="I42" t="n">
        <x:v>189000</x:v>
      </x:c>
      <x:c r="J42" t="str">
        <x:v>Mixed product row for filter testing</x:v>
      </x:c>
    </x:row>
    <x:row r="43">
      <x:c r="A43" t="n">
        <x:v>45536</x:v>
      </x:c>
      <x:c r="B43" t="str">
        <x:v>Lifebuoy Handwash</x:v>
      </x:c>
      <x:c r="C43" t="str">
        <x:v>Personal Care</x:v>
      </x:c>
      <x:c r="D43" t="str">
        <x:v>Lifebuoy</x:v>
      </x:c>
      <x:c r="E43" t="str">
        <x:v>Sylhet</x:v>
      </x:c>
      <x:c r="F43" t="str">
        <x:v>Wholesale</x:v>
      </x:c>
      <x:c r="G43" t="n">
        <x:v>389</x:v>
      </x:c>
      <x:c r="H43" t="n">
        <x:v>210</x:v>
      </x:c>
      <x:c r="I43" t="n">
        <x:v>81690</x:v>
      </x:c>
      <x:c r="J43" t="str">
        <x:v>Mixed product row for filter testing</x:v>
      </x:c>
    </x:row>
    <x:row r="44">
      <x:c r="A44" t="n">
        <x:v>45536</x:v>
      </x:c>
      <x:c r="B44" t="str">
        <x:v>Bata Sandal</x:v>
      </x:c>
      <x:c r="C44" t="str">
        <x:v>Footwear</x:v>
      </x:c>
      <x:c r="D44" t="str">
        <x:v>Bata</x:v>
      </x:c>
      <x:c r="E44" t="str">
        <x:v>Barishal</x:v>
      </x:c>
      <x:c r="F44" t="str">
        <x:v>Modern Trade</x:v>
      </x:c>
      <x:c r="G44" t="n">
        <x:v>2366</x:v>
      </x:c>
      <x:c r="H44" t="n">
        <x:v>950</x:v>
      </x:c>
      <x:c r="I44" t="n">
        <x:v>2247700</x:v>
      </x:c>
      <x:c r="J44" t="str">
        <x:v>Mixed product row for filter testing</x:v>
      </x:c>
    </x:row>
    <x:row r="45">
      <x:c r="A45" t="n">
        <x:v>45536</x:v>
      </x:c>
      <x:c r="B45" t="str">
        <x:v>Trunk T-Shirt</x:v>
      </x:c>
      <x:c r="C45" t="str">
        <x:v>Clothing</x:v>
      </x:c>
      <x:c r="D45" t="str">
        <x:v>Trunk</x:v>
      </x:c>
      <x:c r="E45" t="str">
        <x:v>Khulna</x:v>
      </x:c>
      <x:c r="F45" t="str">
        <x:v>Modern Trade</x:v>
      </x:c>
      <x:c r="G45" t="n">
        <x:v>2293</x:v>
      </x:c>
      <x:c r="H45" t="n">
        <x:v>780</x:v>
      </x:c>
      <x:c r="I45" t="n">
        <x:v>1788540</x:v>
      </x:c>
      <x:c r="J45" t="str">
        <x:v>Mixed product row for filter testing</x:v>
      </x:c>
    </x:row>
    <x:row r="46">
      <x:c r="A46" t="n">
        <x:v>45536</x:v>
      </x:c>
      <x:c r="B46" t="str">
        <x:v>Samsung Phone</x:v>
      </x:c>
      <x:c r="C46" t="str">
        <x:v>Electronics</x:v>
      </x:c>
      <x:c r="D46" t="str">
        <x:v>Samsung</x:v>
      </x:c>
      <x:c r="E46" t="str">
        <x:v>Rangpur</x:v>
      </x:c>
      <x:c r="F46" t="str">
        <x:v>Retail</x:v>
      </x:c>
      <x:c r="G46" t="n">
        <x:v>2190</x:v>
      </x:c>
      <x:c r="H46" t="n">
        <x:v>35000</x:v>
      </x:c>
      <x:c r="I46" t="n">
        <x:v>76650000</x:v>
      </x:c>
      <x:c r="J46" t="str">
        <x:v>Mixed product row for filter testing</x:v>
      </x:c>
    </x:row>
    <x:row r="47">
      <x:c r="A47" t="n">
        <x:v>45566</x:v>
      </x:c>
      <x:c r="B47" t="str">
        <x:v>Dove Shampoo</x:v>
      </x:c>
      <x:c r="C47" t="str">
        <x:v>Personal Care</x:v>
      </x:c>
      <x:c r="D47" t="str">
        <x:v>Dove</x:v>
      </x:c>
      <x:c r="E47" t="str">
        <x:v>Rajshahi</x:v>
      </x:c>
      <x:c r="F47" t="str">
        <x:v>Modern Trade</x:v>
      </x:c>
      <x:c r="G47" t="n">
        <x:v>588</x:v>
      </x:c>
      <x:c r="H47" t="n">
        <x:v>420</x:v>
      </x:c>
      <x:c r="I47" t="n">
        <x:v>246960</x:v>
      </x:c>
      <x:c r="J47" t="str">
        <x:v>Mixed product row for filter testing</x:v>
      </x:c>
    </x:row>
    <x:row r="48">
      <x:c r="A48" t="n">
        <x:v>45566</x:v>
      </x:c>
      <x:c r="B48" t="str">
        <x:v>Lifebuoy Handwash</x:v>
      </x:c>
      <x:c r="C48" t="str">
        <x:v>Personal Care</x:v>
      </x:c>
      <x:c r="D48" t="str">
        <x:v>Lifebuoy</x:v>
      </x:c>
      <x:c r="E48" t="str">
        <x:v>Rajshahi</x:v>
      </x:c>
      <x:c r="F48" t="str">
        <x:v>Modern Trade</x:v>
      </x:c>
      <x:c r="G48" t="n">
        <x:v>1969</x:v>
      </x:c>
      <x:c r="H48" t="n">
        <x:v>210</x:v>
      </x:c>
      <x:c r="I48" t="n">
        <x:v>413490</x:v>
      </x:c>
      <x:c r="J48" t="str">
        <x:v>Mixed product row for filter testing</x:v>
      </x:c>
    </x:row>
    <x:row r="49">
      <x:c r="A49" t="n">
        <x:v>45566</x:v>
      </x:c>
      <x:c r="B49" t="str">
        <x:v>Bata Sandal</x:v>
      </x:c>
      <x:c r="C49" t="str">
        <x:v>Footwear</x:v>
      </x:c>
      <x:c r="D49" t="str">
        <x:v>Bata</x:v>
      </x:c>
      <x:c r="E49" t="str">
        <x:v>Mymensingh</x:v>
      </x:c>
      <x:c r="F49" t="str">
        <x:v>Modern Trade</x:v>
      </x:c>
      <x:c r="G49" t="n">
        <x:v>1508</x:v>
      </x:c>
      <x:c r="H49" t="n">
        <x:v>950</x:v>
      </x:c>
      <x:c r="I49" t="n">
        <x:v>1432600</x:v>
      </x:c>
      <x:c r="J49" t="str">
        <x:v>Mixed product row for filter testing</x:v>
      </x:c>
    </x:row>
    <x:row r="50">
      <x:c r="A50" t="n">
        <x:v>45566</x:v>
      </x:c>
      <x:c r="B50" t="str">
        <x:v>Trunk T-Shirt</x:v>
      </x:c>
      <x:c r="C50" t="str">
        <x:v>Clothing</x:v>
      </x:c>
      <x:c r="D50" t="str">
        <x:v>Trunk</x:v>
      </x:c>
      <x:c r="E50" t="str">
        <x:v>Chattogram</x:v>
      </x:c>
      <x:c r="F50" t="str">
        <x:v>Wholesale</x:v>
      </x:c>
      <x:c r="G50" t="n">
        <x:v>1823</x:v>
      </x:c>
      <x:c r="H50" t="n">
        <x:v>780</x:v>
      </x:c>
      <x:c r="I50" t="n">
        <x:v>1421940</x:v>
      </x:c>
      <x:c r="J50" t="str">
        <x:v>Mixed product row for filter testing</x:v>
      </x:c>
    </x:row>
    <x:row r="51">
      <x:c r="A51" t="n">
        <x:v>45566</x:v>
      </x:c>
      <x:c r="B51" t="str">
        <x:v>Samsung Phone</x:v>
      </x:c>
      <x:c r="C51" t="str">
        <x:v>Electronics</x:v>
      </x:c>
      <x:c r="D51" t="str">
        <x:v>Samsung</x:v>
      </x:c>
      <x:c r="E51" t="str">
        <x:v>Barishal</x:v>
      </x:c>
      <x:c r="F51" t="str">
        <x:v>Wholesale</x:v>
      </x:c>
      <x:c r="G51" t="n">
        <x:v>1868</x:v>
      </x:c>
      <x:c r="H51" t="n">
        <x:v>35000</x:v>
      </x:c>
      <x:c r="I51" t="n">
        <x:v>65380000</x:v>
      </x:c>
      <x:c r="J51" t="str">
        <x:v>Mixed product row for filter testing</x:v>
      </x:c>
    </x:row>
    <x:row r="52">
      <x:c r="A52" t="n">
        <x:v>45597</x:v>
      </x:c>
      <x:c r="B52" t="str">
        <x:v>Dove Shampoo</x:v>
      </x:c>
      <x:c r="C52" t="str">
        <x:v>Personal Care</x:v>
      </x:c>
      <x:c r="D52" t="str">
        <x:v>Dove</x:v>
      </x:c>
      <x:c r="E52" t="str">
        <x:v>Sylhet</x:v>
      </x:c>
      <x:c r="F52" t="str">
        <x:v>Modern Trade</x:v>
      </x:c>
      <x:c r="G52" t="n">
        <x:v>1653</x:v>
      </x:c>
      <x:c r="H52" t="n">
        <x:v>420</x:v>
      </x:c>
      <x:c r="I52" t="n">
        <x:v>694260</x:v>
      </x:c>
      <x:c r="J52" t="str">
        <x:v>Mixed product row for filter testing</x:v>
      </x:c>
    </x:row>
    <x:row r="53">
      <x:c r="A53" t="n">
        <x:v>45597</x:v>
      </x:c>
      <x:c r="B53" t="str">
        <x:v>Lifebuoy Handwash</x:v>
      </x:c>
      <x:c r="C53" t="str">
        <x:v>Personal Care</x:v>
      </x:c>
      <x:c r="D53" t="str">
        <x:v>Lifebuoy</x:v>
      </x:c>
      <x:c r="E53" t="str">
        <x:v>Chattogram</x:v>
      </x:c>
      <x:c r="F53" t="str">
        <x:v>Retail</x:v>
      </x:c>
      <x:c r="G53" t="n">
        <x:v>394</x:v>
      </x:c>
      <x:c r="H53" t="n">
        <x:v>210</x:v>
      </x:c>
      <x:c r="I53" t="n">
        <x:v>82740</x:v>
      </x:c>
      <x:c r="J53" t="str">
        <x:v>Mixed product row for filter testing</x:v>
      </x:c>
    </x:row>
    <x:row r="54">
      <x:c r="A54" t="n">
        <x:v>45597</x:v>
      </x:c>
      <x:c r="B54" t="str">
        <x:v>Bata Sandal</x:v>
      </x:c>
      <x:c r="C54" t="str">
        <x:v>Footwear</x:v>
      </x:c>
      <x:c r="D54" t="str">
        <x:v>Bata</x:v>
      </x:c>
      <x:c r="E54" t="str">
        <x:v>Rangpur</x:v>
      </x:c>
      <x:c r="F54" t="str">
        <x:v>Retail</x:v>
      </x:c>
      <x:c r="G54" t="n">
        <x:v>501</x:v>
      </x:c>
      <x:c r="H54" t="n">
        <x:v>950</x:v>
      </x:c>
      <x:c r="I54" t="n">
        <x:v>475950</x:v>
      </x:c>
      <x:c r="J54" t="str">
        <x:v>Mixed product row for filter testing</x:v>
      </x:c>
    </x:row>
    <x:row r="55">
      <x:c r="A55" t="n">
        <x:v>45597</x:v>
      </x:c>
      <x:c r="B55" t="str">
        <x:v>Trunk T-Shirt</x:v>
      </x:c>
      <x:c r="C55" t="str">
        <x:v>Clothing</x:v>
      </x:c>
      <x:c r="D55" t="str">
        <x:v>Trunk</x:v>
      </x:c>
      <x:c r="E55" t="str">
        <x:v>Sylhet</x:v>
      </x:c>
      <x:c r="F55" t="str">
        <x:v>Retail</x:v>
      </x:c>
      <x:c r="G55" t="n">
        <x:v>1646</x:v>
      </x:c>
      <x:c r="H55" t="n">
        <x:v>780</x:v>
      </x:c>
      <x:c r="I55" t="n">
        <x:v>1283880</x:v>
      </x:c>
      <x:c r="J55" t="str">
        <x:v>Mixed product row for filter testing</x:v>
      </x:c>
    </x:row>
    <x:row r="56">
      <x:c r="A56" t="n">
        <x:v>45597</x:v>
      </x:c>
      <x:c r="B56" t="str">
        <x:v>Samsung Phone</x:v>
      </x:c>
      <x:c r="C56" t="str">
        <x:v>Electronics</x:v>
      </x:c>
      <x:c r="D56" t="str">
        <x:v>Samsung</x:v>
      </x:c>
      <x:c r="E56" t="str">
        <x:v>Barishal</x:v>
      </x:c>
      <x:c r="F56" t="str">
        <x:v>Retail</x:v>
      </x:c>
      <x:c r="G56" t="n">
        <x:v>2420</x:v>
      </x:c>
      <x:c r="H56" t="n">
        <x:v>35000</x:v>
      </x:c>
      <x:c r="I56" t="n">
        <x:v>84700000</x:v>
      </x:c>
      <x:c r="J56" t="str">
        <x:v>Mixed product row for filter testing</x:v>
      </x:c>
    </x:row>
    <x:row r="57">
      <x:c r="A57" t="n">
        <x:v>45627</x:v>
      </x:c>
      <x:c r="B57" t="str">
        <x:v>Dove Shampoo</x:v>
      </x:c>
      <x:c r="C57" t="str">
        <x:v>Personal Care</x:v>
      </x:c>
      <x:c r="D57" t="str">
        <x:v>Dove</x:v>
      </x:c>
      <x:c r="E57" t="str">
        <x:v>Barishal</x:v>
      </x:c>
      <x:c r="F57" t="str">
        <x:v>Modern Trade</x:v>
      </x:c>
      <x:c r="G57" t="n">
        <x:v>1802</x:v>
      </x:c>
      <x:c r="H57" t="n">
        <x:v>420</x:v>
      </x:c>
      <x:c r="I57" t="n">
        <x:v>756840</x:v>
      </x:c>
      <x:c r="J57" t="str">
        <x:v>Mixed product row for filter testing</x:v>
      </x:c>
    </x:row>
    <x:row r="58">
      <x:c r="A58" t="n">
        <x:v>45627</x:v>
      </x:c>
      <x:c r="B58" t="str">
        <x:v>Lifebuoy Handwash</x:v>
      </x:c>
      <x:c r="C58" t="str">
        <x:v>Personal Care</x:v>
      </x:c>
      <x:c r="D58" t="str">
        <x:v>Lifebuoy</x:v>
      </x:c>
      <x:c r="E58" t="str">
        <x:v>Khulna</x:v>
      </x:c>
      <x:c r="F58" t="str">
        <x:v>Wholesale</x:v>
      </x:c>
      <x:c r="G58" t="n">
        <x:v>330</x:v>
      </x:c>
      <x:c r="H58" t="n">
        <x:v>210</x:v>
      </x:c>
      <x:c r="I58" t="n">
        <x:v>69300</x:v>
      </x:c>
      <x:c r="J58" t="str">
        <x:v>Mixed product row for filter testing</x:v>
      </x:c>
    </x:row>
    <x:row r="59">
      <x:c r="A59" t="n">
        <x:v>45627</x:v>
      </x:c>
      <x:c r="B59" t="str">
        <x:v>Bata Sandal</x:v>
      </x:c>
      <x:c r="C59" t="str">
        <x:v>Footwear</x:v>
      </x:c>
      <x:c r="D59" t="str">
        <x:v>Bata</x:v>
      </x:c>
      <x:c r="E59" t="str">
        <x:v>Chattogram</x:v>
      </x:c>
      <x:c r="F59" t="str">
        <x:v>Online</x:v>
      </x:c>
      <x:c r="G59" t="n">
        <x:v>1560</x:v>
      </x:c>
      <x:c r="H59" t="n">
        <x:v>950</x:v>
      </x:c>
      <x:c r="I59" t="n">
        <x:v>1482000</x:v>
      </x:c>
      <x:c r="J59" t="str">
        <x:v>Mixed product row for filter testing</x:v>
      </x:c>
    </x:row>
    <x:row r="60">
      <x:c r="A60" t="n">
        <x:v>45627</x:v>
      </x:c>
      <x:c r="B60" t="str">
        <x:v>Trunk T-Shirt</x:v>
      </x:c>
      <x:c r="C60" t="str">
        <x:v>Clothing</x:v>
      </x:c>
      <x:c r="D60" t="str">
        <x:v>Trunk</x:v>
      </x:c>
      <x:c r="E60" t="str">
        <x:v>Mymensingh</x:v>
      </x:c>
      <x:c r="F60" t="str">
        <x:v>Online</x:v>
      </x:c>
      <x:c r="G60" t="n">
        <x:v>753</x:v>
      </x:c>
      <x:c r="H60" t="n">
        <x:v>780</x:v>
      </x:c>
      <x:c r="I60" t="n">
        <x:v>587340</x:v>
      </x:c>
      <x:c r="J60" t="str">
        <x:v>Mixed product row for filter testing</x:v>
      </x:c>
    </x:row>
    <x:row r="61">
      <x:c r="A61" t="n">
        <x:v>45627</x:v>
      </x:c>
      <x:c r="B61" t="str">
        <x:v>Samsung Phone</x:v>
      </x:c>
      <x:c r="C61" t="str">
        <x:v>Electronics</x:v>
      </x:c>
      <x:c r="D61" t="str">
        <x:v>Samsung</x:v>
      </x:c>
      <x:c r="E61" t="str">
        <x:v>Barishal</x:v>
      </x:c>
      <x:c r="F61" t="str">
        <x:v>Wholesale</x:v>
      </x:c>
      <x:c r="G61" t="n">
        <x:v>563</x:v>
      </x:c>
      <x:c r="H61" t="n">
        <x:v>35000</x:v>
      </x:c>
      <x:c r="I61" t="n">
        <x:v>19705000</x:v>
      </x:c>
      <x:c r="J61" t="str">
        <x:v>Mixed product row for filter testing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MUL-DPF-27-01</x:v>
      </x:c>
      <x:c r="B2" t="str">
        <x:v>Mixed FMCG Basket</x:v>
      </x:c>
      <x:c r="C2" t="str">
        <x:v>Mixed</x:v>
      </x:c>
      <x:c r="D2" t="str">
        <x:v>Multiple</x:v>
      </x:c>
      <x:c r="E2" t="str">
        <x:v>Dhaka</x:v>
      </x:c>
      <x:c r="F2" t="str">
        <x:v>Dhaka DC</x:v>
      </x:c>
      <x:c r="G2" t="n">
        <x:v>1205</x:v>
      </x:c>
      <x:c r="H2" t="n">
        <x:v>517</x:v>
      </x:c>
      <x:c r="I2" t="n">
        <x:v>1149</x:v>
      </x:c>
      <x:c r="J2" t="n">
        <x:v>311</x:v>
      </x:c>
      <x:c r="K2" t="n">
        <x:v>120</x:v>
      </x:c>
      <x:c r="L2" t="n">
        <x:v>45672</x:v>
      </x:c>
      <x:c r="M2" t="str">
        <x:v>OK</x:v>
      </x:c>
    </x:row>
    <x:row r="3">
      <x:c r="A3" t="str">
        <x:v>MUL-DPF-27-02</x:v>
      </x:c>
      <x:c r="B3" t="str">
        <x:v>Mixed FMCG Basket</x:v>
      </x:c>
      <x:c r="C3" t="str">
        <x:v>Mixed</x:v>
      </x:c>
      <x:c r="D3" t="str">
        <x:v>Multiple</x:v>
      </x:c>
      <x:c r="E3" t="str">
        <x:v>Chattogram</x:v>
      </x:c>
      <x:c r="F3" t="str">
        <x:v>Chattogram DC</x:v>
      </x:c>
      <x:c r="G3" t="n">
        <x:v>2488</x:v>
      </x:c>
      <x:c r="H3" t="n">
        <x:v>651</x:v>
      </x:c>
      <x:c r="I3" t="n">
        <x:v>1410</x:v>
      </x:c>
      <x:c r="J3" t="n">
        <x:v>446</x:v>
      </x:c>
      <x:c r="K3" t="n">
        <x:v>120</x:v>
      </x:c>
      <x:c r="L3" t="n">
        <x:v>45673</x:v>
      </x:c>
      <x:c r="M3" t="str">
        <x:v>OK</x:v>
      </x:c>
    </x:row>
    <x:row r="4">
      <x:c r="A4" t="str">
        <x:v>MUL-DPF-27-03</x:v>
      </x:c>
      <x:c r="B4" t="str">
        <x:v>Mixed FMCG Basket</x:v>
      </x:c>
      <x:c r="C4" t="str">
        <x:v>Mixed</x:v>
      </x:c>
      <x:c r="D4" t="str">
        <x:v>Multiple</x:v>
      </x:c>
      <x:c r="E4" t="str">
        <x:v>Sylhet</x:v>
      </x:c>
      <x:c r="F4" t="str">
        <x:v>Sylhet DC</x:v>
      </x:c>
      <x:c r="G4" t="n">
        <x:v>2476</x:v>
      </x:c>
      <x:c r="H4" t="n">
        <x:v>607</x:v>
      </x:c>
      <x:c r="I4" t="n">
        <x:v>1378</x:v>
      </x:c>
      <x:c r="J4" t="n">
        <x:v>456</x:v>
      </x:c>
      <x:c r="K4" t="n">
        <x:v>120</x:v>
      </x:c>
      <x:c r="L4" t="n">
        <x:v>45674</x:v>
      </x:c>
      <x:c r="M4" t="str">
        <x:v>OK</x:v>
      </x:c>
    </x:row>
    <x:row r="5">
      <x:c r="A5" t="str">
        <x:v>MUL-DPF-27-04</x:v>
      </x:c>
      <x:c r="B5" t="str">
        <x:v>Mixed FMCG Basket</x:v>
      </x:c>
      <x:c r="C5" t="str">
        <x:v>Mixed</x:v>
      </x:c>
      <x:c r="D5" t="str">
        <x:v>Multiple</x:v>
      </x:c>
      <x:c r="E5" t="str">
        <x:v>Rajshahi</x:v>
      </x:c>
      <x:c r="F5" t="str">
        <x:v>Rajshahi DC</x:v>
      </x:c>
      <x:c r="G5" t="n">
        <x:v>958</x:v>
      </x:c>
      <x:c r="H5" t="n">
        <x:v>515</x:v>
      </x:c>
      <x:c r="I5" t="n">
        <x:v>1319</x:v>
      </x:c>
      <x:c r="J5" t="n">
        <x:v>582</x:v>
      </x:c>
      <x:c r="K5" t="n">
        <x:v>120</x:v>
      </x:c>
      <x:c r="L5" t="n">
        <x:v>45675</x:v>
      </x:c>
      <x:c r="M5" t="str">
        <x:v>Reorder Needed</x:v>
      </x:c>
    </x:row>
    <x:row r="6">
      <x:c r="A6" t="str">
        <x:v>MUL-DPF-27-05</x:v>
      </x:c>
      <x:c r="B6" t="str">
        <x:v>Mixed FMCG Basket</x:v>
      </x:c>
      <x:c r="C6" t="str">
        <x:v>Mixed</x:v>
      </x:c>
      <x:c r="D6" t="str">
        <x:v>Multiple</x:v>
      </x:c>
      <x:c r="E6" t="str">
        <x:v>Khulna</x:v>
      </x:c>
      <x:c r="F6" t="str">
        <x:v>Khulna DC</x:v>
      </x:c>
      <x:c r="G6" t="n">
        <x:v>1884</x:v>
      </x:c>
      <x:c r="H6" t="n">
        <x:v>490</x:v>
      </x:c>
      <x:c r="I6" t="n">
        <x:v>1096</x:v>
      </x:c>
      <x:c r="J6" t="n">
        <x:v>437</x:v>
      </x:c>
      <x:c r="K6" t="n">
        <x:v>120</x:v>
      </x:c>
      <x:c r="L6" t="n">
        <x:v>45676</x:v>
      </x:c>
      <x:c r="M6" t="str">
        <x:v>OK</x:v>
      </x:c>
    </x:row>
    <x:row r="7">
      <x:c r="A7" t="str">
        <x:v>MUL-DPF-27-06</x:v>
      </x:c>
      <x:c r="B7" t="str">
        <x:v>Mixed FMCG Basket</x:v>
      </x:c>
      <x:c r="C7" t="str">
        <x:v>Mixed</x:v>
      </x:c>
      <x:c r="D7" t="str">
        <x:v>Multiple</x:v>
      </x:c>
      <x:c r="E7" t="str">
        <x:v>Barishal</x:v>
      </x:c>
      <x:c r="F7" t="str">
        <x:v>Barishal DC</x:v>
      </x:c>
      <x:c r="G7" t="n">
        <x:v>1075</x:v>
      </x:c>
      <x:c r="H7" t="n">
        <x:v>644</x:v>
      </x:c>
      <x:c r="I7" t="n">
        <x:v>1515</x:v>
      </x:c>
      <x:c r="J7" t="n">
        <x:v>125</x:v>
      </x:c>
      <x:c r="K7" t="n">
        <x:v>120</x:v>
      </x:c>
      <x:c r="L7" t="n">
        <x:v>45677</x:v>
      </x:c>
      <x:c r="M7" t="str">
        <x:v>Reorder Needed</x:v>
      </x:c>
    </x:row>
    <x:row r="8">
      <x:c r="A8" t="str">
        <x:v>MUL-DPF-27-07</x:v>
      </x:c>
      <x:c r="B8" t="str">
        <x:v>Mixed FMCG Basket</x:v>
      </x:c>
      <x:c r="C8" t="str">
        <x:v>Mixed</x:v>
      </x:c>
      <x:c r="D8" t="str">
        <x:v>Multiple</x:v>
      </x:c>
      <x:c r="E8" t="str">
        <x:v>Rangpur</x:v>
      </x:c>
      <x:c r="F8" t="str">
        <x:v>Rangpur DC</x:v>
      </x:c>
      <x:c r="G8" t="n">
        <x:v>2400</x:v>
      </x:c>
      <x:c r="H8" t="n">
        <x:v>543</x:v>
      </x:c>
      <x:c r="I8" t="n">
        <x:v>1248</x:v>
      </x:c>
      <x:c r="J8" t="n">
        <x:v>162</x:v>
      </x:c>
      <x:c r="K8" t="n">
        <x:v>120</x:v>
      </x:c>
      <x:c r="L8" t="n">
        <x:v>45678</x:v>
      </x:c>
      <x:c r="M8" t="str">
        <x:v>OK</x:v>
      </x:c>
    </x:row>
    <x:row r="9">
      <x:c r="A9" t="str">
        <x:v>MUL-DPF-27-08</x:v>
      </x:c>
      <x:c r="B9" t="str">
        <x:v>Mixed FMCG Basket</x:v>
      </x:c>
      <x:c r="C9" t="str">
        <x:v>Mixed</x:v>
      </x:c>
      <x:c r="D9" t="str">
        <x:v>Multiple</x:v>
      </x:c>
      <x:c r="E9" t="str">
        <x:v>Mymensingh</x:v>
      </x:c>
      <x:c r="F9" t="str">
        <x:v>Mymensingh DC</x:v>
      </x:c>
      <x:c r="G9" t="n">
        <x:v>1771</x:v>
      </x:c>
      <x:c r="H9" t="n">
        <x:v>529</x:v>
      </x:c>
      <x:c r="I9" t="n">
        <x:v>1390</x:v>
      </x:c>
      <x:c r="J9" t="n">
        <x:v>403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22.6</x:v>
      </x:c>
      <x:c r="G2" t="n">
        <x:v>16.8</x:v>
      </x:c>
      <x:c r="H2" t="n">
        <x:v>137899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18.9</x:v>
      </x:c>
      <x:c r="G3" t="n">
        <x:v>13.2</x:v>
      </x:c>
      <x:c r="H3" t="n">
        <x:v>109880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21.4</x:v>
      </x:c>
      <x:c r="G4" t="n">
        <x:v>21.7</x:v>
      </x:c>
      <x:c r="H4" t="n">
        <x:v>107277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12.2</x:v>
      </x:c>
      <x:c r="G5" t="n">
        <x:v>11.6</x:v>
      </x:c>
      <x:c r="H5" t="n">
        <x:v>101066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Mixed</x:v>
      </x:c>
      <x:c r="E2" t="n">
        <x:v>258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Mixed</x:v>
      </x:c>
      <x:c r="E3" t="n">
        <x:v>319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Mixed</x:v>
      </x:c>
      <x:c r="E4" t="n">
        <x:v>310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Mixed</x:v>
      </x:c>
      <x:c r="E5" t="n">
        <x:v>303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7.39</x:v>
      </x:c>
      <x:c r="C2" t="n">
        <x:v>99.44</x:v>
      </x:c>
      <x:c r="D2" t="n">
        <x:v>87.28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8.18</x:v>
      </x:c>
      <x:c r="C3" t="n">
        <x:v>99.41</x:v>
      </x:c>
      <x:c r="D3" t="n">
        <x:v>85.91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8.06</x:v>
      </x:c>
      <x:c r="C4" t="n">
        <x:v>101.49</x:v>
      </x:c>
      <x:c r="D4" t="n">
        <x:v>86.74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8.67</x:v>
      </x:c>
      <x:c r="C5" t="n">
        <x:v>101.43</x:v>
      </x:c>
      <x:c r="D5" t="n">
        <x:v>85.69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8.54</x:v>
      </x:c>
      <x:c r="C6" t="n">
        <x:v>100.44</x:v>
      </x:c>
      <x:c r="D6" t="n">
        <x:v>85.61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8.69</x:v>
      </x:c>
      <x:c r="C7" t="n">
        <x:v>101.36</x:v>
      </x:c>
      <x:c r="D7" t="n">
        <x:v>85.63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8.37</x:v>
      </x:c>
      <x:c r="C8" t="n">
        <x:v>101.87</x:v>
      </x:c>
      <x:c r="D8" t="n">
        <x:v>86.33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8.21</x:v>
      </x:c>
      <x:c r="C9" t="n">
        <x:v>102.22</x:v>
      </x:c>
      <x:c r="D9" t="n">
        <x:v>86.72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8.15</x:v>
      </x:c>
      <x:c r="C10" t="n">
        <x:v>102.11</x:v>
      </x:c>
      <x:c r="D10" t="n">
        <x:v>86.78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7.61</x:v>
      </x:c>
      <x:c r="C11" t="n">
        <x:v>103.18</x:v>
      </x:c>
      <x:c r="D11" t="n">
        <x:v>88.02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7.23</x:v>
      </x:c>
      <x:c r="C12" t="n">
        <x:v>102.92</x:v>
      </x:c>
      <x:c r="D12" t="n">
        <x:v>88.58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6.65</x:v>
      </x:c>
      <x:c r="C13" t="n">
        <x:v>102.93</x:v>
      </x:c>
      <x:c r="D13" t="n">
        <x:v>89.58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6.55</x:v>
      </x:c>
      <x:c r="C14" t="n">
        <x:v>103.41</x:v>
      </x:c>
      <x:c r="D14" t="n">
        <x:v>89.89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6.47</x:v>
      </x:c>
      <x:c r="C15" t="n">
        <x:v>103.48</x:v>
      </x:c>
      <x:c r="D15" t="n">
        <x:v>90.05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6.24</x:v>
      </x:c>
      <x:c r="C16" t="n">
        <x:v>105.13</x:v>
      </x:c>
      <x:c r="D16" t="n">
        <x:v>90.92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6.15</x:v>
      </x:c>
      <x:c r="C17" t="n">
        <x:v>105.4</x:v>
      </x:c>
      <x:c r="D17" t="n">
        <x:v>91.16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6.5</x:v>
      </x:c>
      <x:c r="C18" t="n">
        <x:v>105.18</x:v>
      </x:c>
      <x:c r="D18" t="n">
        <x:v>90.5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6.72</x:v>
      </x:c>
      <x:c r="C19" t="n">
        <x:v>104.97</x:v>
      </x:c>
      <x:c r="D19" t="n">
        <x:v>90.06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2</x:v>
      </x:c>
      <x:c r="E2" t="n">
        <x:v>8</x:v>
      </x:c>
      <x:c r="F2" t="n">
        <x:v>8</x:v>
      </x:c>
      <x:c r="G2" t="n">
        <x:v>5</x:v>
      </x:c>
      <x:c r="H2" t="n">
        <x:v>23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5</x:v>
      </x:c>
      <x:c r="E3" t="n">
        <x:v>6</x:v>
      </x:c>
      <x:c r="F3" t="n">
        <x:v>8</x:v>
      </x:c>
      <x:c r="G3" t="n">
        <x:v>3</x:v>
      </x:c>
      <x:c r="H3" t="n">
        <x:v>22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4</x:v>
      </x:c>
      <x:c r="E4" t="n">
        <x:v>8</x:v>
      </x:c>
      <x:c r="F4" t="n">
        <x:v>7</x:v>
      </x:c>
      <x:c r="G4" t="n">
        <x:v>2</x:v>
      </x:c>
      <x:c r="H4" t="n">
        <x:v>21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6</x:v>
      </x:c>
      <x:c r="F5" t="n">
        <x:v>5</x:v>
      </x:c>
      <x:c r="G5" t="n">
        <x:v>3</x:v>
      </x:c>
      <x:c r="H5" t="n">
        <x:v>16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1358</x:v>
      </x:c>
      <x:c r="C2" t="n">
        <x:v>1634</x:v>
      </x:c>
      <x:c r="D2" t="n">
        <x:f>C2-B2</x:f>
        <x:v>276</x:v>
      </x:c>
      <x:c r="E2" t="n">
        <x:f>ABS(D2)</x:f>
        <x:v>276</x:v>
      </x:c>
      <x:c r="F2" s="22" t="n">
        <x:f>IFERROR(E2/C2,0)</x:f>
        <x:v>0.1689106487148103</x:v>
      </x:c>
      <x:c r="G2" t="str">
        <x:v>Formula columns should calculate error and accuracy</x:v>
      </x:c>
    </x:row>
    <x:row r="3">
      <x:c r="A3" t="n">
        <x:v>45505</x:v>
      </x:c>
      <x:c r="B3" t="n">
        <x:v>1470</x:v>
      </x:c>
      <x:c r="C3" t="n">
        <x:v>1292</x:v>
      </x:c>
      <x:c r="D3" t="n">
        <x:f>C3-B3</x:f>
        <x:v>-178</x:v>
      </x:c>
      <x:c r="E3" t="n">
        <x:f>ABS(D3)</x:f>
        <x:v>178</x:v>
      </x:c>
      <x:c r="F3" s="22" t="n">
        <x:f>IFERROR(E3/C3,0)</x:f>
        <x:v>0.13777089783281735</x:v>
      </x:c>
      <x:c r="G3" t="str">
        <x:v>Formula columns should calculate error and accuracy</x:v>
      </x:c>
    </x:row>
    <x:row r="4">
      <x:c r="A4" t="n">
        <x:v>45536</x:v>
      </x:c>
      <x:c r="B4" t="n">
        <x:v>1340</x:v>
      </x:c>
      <x:c r="C4" t="n">
        <x:v>1236</x:v>
      </x:c>
      <x:c r="D4" t="n">
        <x:f>C4-B4</x:f>
        <x:v>-104</x:v>
      </x:c>
      <x:c r="E4" t="n">
        <x:f>ABS(D4)</x:f>
        <x:v>104</x:v>
      </x:c>
      <x:c r="F4" s="22" t="n">
        <x:f>IFERROR(E4/C4,0)</x:f>
        <x:v>0.08414239482200647</x:v>
      </x:c>
      <x:c r="G4" t="str">
        <x:v>Formula columns should calculate error and accuracy</x:v>
      </x:c>
    </x:row>
    <x:row r="5">
      <x:c r="A5" t="n">
        <x:v>45566</x:v>
      </x:c>
      <x:c r="B5" t="n">
        <x:v>1387</x:v>
      </x:c>
      <x:c r="C5" t="n">
        <x:v>1222</x:v>
      </x:c>
      <x:c r="D5" t="n">
        <x:f>C5-B5</x:f>
        <x:v>-165</x:v>
      </x:c>
      <x:c r="E5" t="n">
        <x:f>ABS(D5)</x:f>
        <x:v>165</x:v>
      </x:c>
      <x:c r="F5" s="22" t="n">
        <x:f>IFERROR(E5/C5,0)</x:f>
        <x:v>0.13502454991816695</x:v>
      </x:c>
      <x:c r="G5" t="str">
        <x:v>Formula columns should calculate error and accuracy</x:v>
      </x:c>
    </x:row>
    <x:row r="6">
      <x:c r="A6" t="n">
        <x:v>45597</x:v>
      </x:c>
      <x:c r="B6" t="n">
        <x:v>1590</x:v>
      </x:c>
      <x:c r="C6" t="n">
        <x:v>1352</x:v>
      </x:c>
      <x:c r="D6" t="n">
        <x:f>C6-B6</x:f>
        <x:v>-238</x:v>
      </x:c>
      <x:c r="E6" t="n">
        <x:f>ABS(D6)</x:f>
        <x:v>238</x:v>
      </x:c>
      <x:c r="F6" s="22" t="n">
        <x:f>IFERROR(E6/C6,0)</x:f>
        <x:v>0.1760355029585799</x:v>
      </x:c>
      <x:c r="G6" t="str">
        <x:v>Formula columns should calculate error and accuracy</x:v>
      </x:c>
    </x:row>
    <x:row r="7">
      <x:c r="A7" t="n">
        <x:v>45627</x:v>
      </x:c>
      <x:c r="B7" t="n">
        <x:v>1679</x:v>
      </x:c>
      <x:c r="C7" t="n">
        <x:v>1799</x:v>
      </x:c>
      <x:c r="D7" t="n">
        <x:f>C7-B7</x:f>
        <x:v>120</x:v>
      </x:c>
      <x:c r="E7" t="n">
        <x:f>ABS(D7)</x:f>
        <x:v>120</x:v>
      </x:c>
      <x:c r="F7" s="22" t="n">
        <x:f>IFERROR(E7/C7,0)</x:f>
        <x:v>0.06670372429127293</x:v>
      </x:c>
      <x:c r="G7" t="str">
        <x:v>Formula columns should calculate error and accuracy</x:v>
      </x:c>
    </x:row>
    <x:row r="8">
      <x:c r="A8" t="n">
        <x:v>45658</x:v>
      </x:c>
      <x:c r="B8" t="n">
        <x:v>1557</x:v>
      </x:c>
      <x:c r="C8" t="n">
        <x:v>1628</x:v>
      </x:c>
      <x:c r="D8" t="n">
        <x:f>C8-B8</x:f>
        <x:v>71</x:v>
      </x:c>
      <x:c r="E8" t="n">
        <x:f>ABS(D8)</x:f>
        <x:v>71</x:v>
      </x:c>
      <x:c r="F8" s="22" t="n">
        <x:f>IFERROR(E8/C8,0)</x:f>
        <x:v>0.04361179361179361</x:v>
      </x:c>
      <x:c r="G8" t="str">
        <x:v>Formula columns should calculate error and accuracy</x:v>
      </x:c>
    </x:row>
    <x:row r="9">
      <x:c r="A9" t="n">
        <x:v>45689</x:v>
      </x:c>
      <x:c r="B9" t="n">
        <x:v>1621</x:v>
      </x:c>
      <x:c r="C9" t="n">
        <x:v>1771</x:v>
      </x:c>
      <x:c r="D9" t="n">
        <x:f>C9-B9</x:f>
        <x:v>150</x:v>
      </x:c>
      <x:c r="E9" t="n">
        <x:f>ABS(D9)</x:f>
        <x:v>150</x:v>
      </x:c>
      <x:c r="F9" s="22" t="n">
        <x:f>IFERROR(E9/C9,0)</x:f>
        <x:v>0.08469791078486731</x:v>
      </x:c>
      <x:c r="G9" t="str">
        <x:v>Formula columns should calculate error and accuracy</x:v>
      </x:c>
    </x:row>
    <x:row r="10">
      <x:c r="A10" t="n">
        <x:v>45717</x:v>
      </x:c>
      <x:c r="B10" t="n">
        <x:v>1748</x:v>
      </x:c>
      <x:c r="C10" t="n">
        <x:v>1883</x:v>
      </x:c>
      <x:c r="D10" t="n">
        <x:f>C10-B10</x:f>
        <x:v>135</x:v>
      </x:c>
      <x:c r="E10" t="n">
        <x:f>ABS(D10)</x:f>
        <x:v>135</x:v>
      </x:c>
      <x:c r="F10" s="22" t="n">
        <x:f>IFERROR(E10/C10,0)</x:f>
        <x:v>0.07169410515135423</x:v>
      </x:c>
      <x:c r="G10" t="str">
        <x:v>Formula columns should calculate error and accuracy</x:v>
      </x:c>
    </x:row>
    <x:row r="11">
      <x:c r="A11" t="n">
        <x:v>45748</x:v>
      </x:c>
      <x:c r="B11" t="n">
        <x:v>1813</x:v>
      </x:c>
      <x:c r="C11" t="n">
        <x:v>1721</x:v>
      </x:c>
      <x:c r="D11" t="n">
        <x:f>C11-B11</x:f>
        <x:v>-92</x:v>
      </x:c>
      <x:c r="E11" t="n">
        <x:f>ABS(D11)</x:f>
        <x:v>92</x:v>
      </x:c>
      <x:c r="F11" s="22" t="n">
        <x:f>IFERROR(E11/C11,0)</x:f>
        <x:v>0.05345729227193492</x:v>
      </x:c>
      <x:c r="G11" t="str">
        <x:v>Formula columns should calculate error and accuracy</x:v>
      </x:c>
    </x:row>
    <x:row r="12">
      <x:c r="A12" t="n">
        <x:v>45778</x:v>
      </x:c>
      <x:c r="B12" t="n">
        <x:v>1838</x:v>
      </x:c>
      <x:c r="C12" t="n">
        <x:v>1740</x:v>
      </x:c>
      <x:c r="D12" t="n">
        <x:f>C12-B12</x:f>
        <x:v>-98</x:v>
      </x:c>
      <x:c r="E12" t="n">
        <x:f>ABS(D12)</x:f>
        <x:v>98</x:v>
      </x:c>
      <x:c r="F12" s="22" t="n">
        <x:f>IFERROR(E12/C12,0)</x:f>
        <x:v>0.05632183908045977</x:v>
      </x:c>
      <x:c r="G12" t="str">
        <x:v>Formula columns should calculate error and accuracy</x:v>
      </x:c>
    </x:row>
    <x:row r="13">
      <x:c r="A13" t="n">
        <x:v>45809</x:v>
      </x:c>
      <x:c r="B13" t="n">
        <x:v>1687</x:v>
      </x:c>
      <x:c r="C13" t="n">
        <x:v>1700</x:v>
      </x:c>
      <x:c r="D13" t="n">
        <x:f>C13-B13</x:f>
        <x:v>13</x:v>
      </x:c>
      <x:c r="E13" t="n">
        <x:f>ABS(D13)</x:f>
        <x:v>13</x:v>
      </x:c>
      <x:c r="F13" s="22" t="n">
        <x:f>IFERROR(E13/C13,0)</x:f>
        <x:v>0.007647058823529412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93</x:v>
      </x:c>
      <x:c r="E2" t="n">
        <x:v>1174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62</x:v>
      </x:c>
      <x:c r="E3" t="n">
        <x:v>908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67</x:v>
      </x:c>
      <x:c r="E4" t="n">
        <x:v>941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64</x:v>
      </x:c>
      <x:c r="E5" t="n">
        <x:v>879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47</x:v>
      </x:c>
      <x:c r="E6" t="n">
        <x:v>512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63</x:v>
      </x:c>
      <x:c r="E7" t="n">
        <x:v>695</x:v>
      </x:c>
      <x:c r="F7" t="str">
        <x:v>Medium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50</x:v>
      </x:c>
      <x:c r="E8" t="n">
        <x:v>740</x:v>
      </x:c>
      <x:c r="F8" t="str">
        <x:v>Low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77</x:v>
      </x:c>
      <x:c r="E9" t="n">
        <x:v>1016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Weekly</x:v>
      </x:c>
      <x:c r="E2" t="n">
        <x:v>8</x:v>
      </x:c>
      <x:c r="F2" t="n">
        <x:v>3229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6</x:v>
      </x:c>
      <x:c r="F3" t="n">
        <x:v>2093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1</x:v>
      </x:c>
      <x:c r="F4" t="n">
        <x:v>321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Monthly</x:v>
      </x:c>
      <x:c r="E5" t="n">
        <x:v>2</x:v>
      </x:c>
      <x:c r="F5" t="n">
        <x:v>662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1</x:v>
      </x:c>
      <x:c r="F6" t="n">
        <x:v>285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162</x:v>
      </x:c>
      <x:c r="F2" t="n">
        <x:v>89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154</x:v>
      </x:c>
      <x:c r="F3" t="n">
        <x:v>86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88</x:v>
      </x:c>
      <x:c r="F4" t="n">
        <x:v>75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16</x:v>
      </x:c>
      <x:c r="F5" t="n">
        <x:v>71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Mixed FMCG Basket Multiple Mixed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Mixed FMCG Basket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Mixed competitor pricing promotions Bangladesh Multiple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Mixed FMCG Basket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89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69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72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73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