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8f6e93dcd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78ade87d26764659"/>
    <x:sheet xmlns:r="http://schemas.openxmlformats.org/officeDocument/2006/relationships" name="Historical_Sales" sheetId="2" r:id="Re17393826a6a4e45"/>
    <x:sheet xmlns:r="http://schemas.openxmlformats.org/officeDocument/2006/relationships" name="Inventory" sheetId="3" r:id="R18c69f0484714c7e"/>
    <x:sheet xmlns:r="http://schemas.openxmlformats.org/officeDocument/2006/relationships" name="Promotions" sheetId="4" r:id="R174f8a402d624123"/>
    <x:sheet xmlns:r="http://schemas.openxmlformats.org/officeDocument/2006/relationships" name="Competitors" sheetId="5" r:id="R46bdc3d2efb44ea8"/>
    <x:sheet xmlns:r="http://schemas.openxmlformats.org/officeDocument/2006/relationships" name="Economic" sheetId="6" r:id="Rad629d515bbf4763"/>
    <x:sheet xmlns:r="http://schemas.openxmlformats.org/officeDocument/2006/relationships" name="Lead_Time" sheetId="7" r:id="Rdb034fceb5344f32"/>
    <x:sheet xmlns:r="http://schemas.openxmlformats.org/officeDocument/2006/relationships" name="Forecast_Actual" sheetId="8" r:id="Rdf2aa6ceab0c463f"/>
    <x:sheet xmlns:r="http://schemas.openxmlformats.org/officeDocument/2006/relationships" name="Regional_Demand_Map" sheetId="9" r:id="Rc9176d15dd1347d4"/>
    <x:sheet xmlns:r="http://schemas.openxmlformats.org/officeDocument/2006/relationships" name="SCM_Flow_Map" sheetId="10" r:id="Rccf05a9c0b9441d6"/>
    <x:sheet xmlns:r="http://schemas.openxmlformats.org/officeDocument/2006/relationships" name="Customer_Patterns" sheetId="11" r:id="R740f8f95dc2b4e94"/>
    <x:sheet xmlns:r="http://schemas.openxmlformats.org/officeDocument/2006/relationships" name="Technology_Data" sheetId="12" r:id="Rf5ecf59840bb4ad9"/>
    <x:sheet xmlns:r="http://schemas.openxmlformats.org/officeDocument/2006/relationships" name="Web_Search_Seeds" sheetId="13" r:id="Rbb29ff976dd44171"/>
    <x:sheet xmlns:r="http://schemas.openxmlformats.org/officeDocument/2006/relationships" name="Manual_Expert_Opinion" sheetId="14" r:id="Re022e8e22de34323"/>
    <x:sheet xmlns:r="http://schemas.openxmlformats.org/officeDocument/2006/relationships" name="Data_Issues" sheetId="15" r:id="R4efa2b110ced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fa9a52e5b4838" /><Relationship Type="http://schemas.openxmlformats.org/officeDocument/2006/relationships/theme" Target="/xl/theme/theme1.xml" Id="R7309d119b8a841f2" /><Relationship Type="http://schemas.openxmlformats.org/officeDocument/2006/relationships/sharedStrings" Target="/xl/sharedStrings.xml" Id="R5363f324e3f1402d" /><Relationship Type="http://schemas.openxmlformats.org/officeDocument/2006/relationships/worksheet" Target="/xl/worksheets/sheet1.xml" Id="R78ade87d26764659" /><Relationship Type="http://schemas.openxmlformats.org/officeDocument/2006/relationships/worksheet" Target="/xl/worksheets/sheet2.xml" Id="Re17393826a6a4e45" /><Relationship Type="http://schemas.openxmlformats.org/officeDocument/2006/relationships/worksheet" Target="/xl/worksheets/sheet3.xml" Id="R18c69f0484714c7e" /><Relationship Type="http://schemas.openxmlformats.org/officeDocument/2006/relationships/worksheet" Target="/xl/worksheets/sheet4.xml" Id="R174f8a402d624123" /><Relationship Type="http://schemas.openxmlformats.org/officeDocument/2006/relationships/worksheet" Target="/xl/worksheets/sheet5.xml" Id="R46bdc3d2efb44ea8" /><Relationship Type="http://schemas.openxmlformats.org/officeDocument/2006/relationships/worksheet" Target="/xl/worksheets/sheet6.xml" Id="Rad629d515bbf4763" /><Relationship Type="http://schemas.openxmlformats.org/officeDocument/2006/relationships/worksheet" Target="/xl/worksheets/sheet7.xml" Id="Rdb034fceb5344f32" /><Relationship Type="http://schemas.openxmlformats.org/officeDocument/2006/relationships/worksheet" Target="/xl/worksheets/sheet8.xml" Id="Rdf2aa6ceab0c463f" /><Relationship Type="http://schemas.openxmlformats.org/officeDocument/2006/relationships/worksheet" Target="/xl/worksheets/sheet9.xml" Id="Rc9176d15dd1347d4" /><Relationship Type="http://schemas.openxmlformats.org/officeDocument/2006/relationships/worksheet" Target="/xl/worksheets/sheet10.xml" Id="Rccf05a9c0b9441d6" /><Relationship Type="http://schemas.openxmlformats.org/officeDocument/2006/relationships/worksheet" Target="/xl/worksheets/sheet11.xml" Id="R740f8f95dc2b4e94" /><Relationship Type="http://schemas.openxmlformats.org/officeDocument/2006/relationships/worksheet" Target="/xl/worksheets/sheet12.xml" Id="Rf5ecf59840bb4ad9" /><Relationship Type="http://schemas.openxmlformats.org/officeDocument/2006/relationships/worksheet" Target="/xl/worksheets/sheet13.xml" Id="Rbb29ff976dd44171" /><Relationship Type="http://schemas.openxmlformats.org/officeDocument/2006/relationships/worksheet" Target="/xl/worksheets/sheet14.xml" Id="Re022e8e22de34323" /><Relationship Type="http://schemas.openxmlformats.org/officeDocument/2006/relationships/worksheet" Target="/xl/worksheets/sheet15.xml" Id="R4efa2b110ced4c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DPF-11</x:v>
      </x:c>
    </x:row>
    <x:row r="3">
      <x:c r="A3" t="str">
        <x:v>Scenario Title</x:v>
      </x:c>
      <x:c r="B3" t="str">
        <x:v>Low Inventory Stockout Risk</x:v>
      </x:c>
    </x:row>
    <x:row r="4">
      <x:c r="A4" t="str">
        <x:v>Purpose</x:v>
      </x:c>
      <x:c r="B4" t="str">
        <x:v>Test stockout and reorder alerts.</x:v>
      </x:c>
    </x:row>
    <x:row r="5">
      <x:c r="A5" t="str">
        <x:v>Product Name</x:v>
      </x:c>
      <x:c r="B5" t="str">
        <x:v>Baby Diaper Pack</x:v>
      </x:c>
    </x:row>
    <x:row r="6">
      <x:c r="A6" t="str">
        <x:v>Category</x:v>
      </x:c>
      <x:c r="B6" t="str">
        <x:v>Baby Care</x:v>
      </x:c>
    </x:row>
    <x:row r="7">
      <x:c r="A7" t="str">
        <x:v>Brand</x:v>
      </x:c>
      <x:c r="B7" t="str">
        <x:v>Pampers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Inventory, Lead Time, Demand Forecast</x:v>
      </x:c>
    </x:row>
    <x:row r="11">
      <x:c r="A11" t="str">
        <x:v>Recommended Inputs To Tick</x:v>
      </x:c>
      <x:c r="B11" t="str">
        <x:v>Inventory Levels, Lead Time, Historical Sales Data</x:v>
      </x:c>
    </x:row>
    <x:row r="12">
      <x:c r="A12" t="str">
        <x:v>Recommended Outputs To Tick</x:v>
      </x:c>
      <x:c r="B12" t="str">
        <x:v>Stockout Risk, Inventory Requirement, Action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Baby Diaper Pack</x:v>
      </x:c>
      <x:c r="C2" t="str">
        <x:v>Baby Care</x:v>
      </x:c>
      <x:c r="D2" t="str">
        <x:v>Pampers</x:v>
      </x:c>
      <x:c r="E2" t="str">
        <x:v>Dhaka</x:v>
      </x:c>
      <x:c r="F2" t="str">
        <x:v>Retail</x:v>
      </x:c>
      <x:c r="G2" t="n">
        <x:v>1830</x:v>
      </x:c>
      <x:c r="H2" t="n">
        <x:v>1250</x:v>
      </x:c>
      <x:c r="I2" t="n">
        <x:v>2287500</x:v>
      </x:c>
      <x:c r="J2" t="str"/>
    </x:row>
    <x:row r="3">
      <x:c r="A3" t="n">
        <x:v>45323</x:v>
      </x:c>
      <x:c r="B3" t="str">
        <x:v>Baby Diaper Pack</x:v>
      </x:c>
      <x:c r="C3" t="str">
        <x:v>Baby Care</x:v>
      </x:c>
      <x:c r="D3" t="str">
        <x:v>Pampers</x:v>
      </x:c>
      <x:c r="E3" t="str">
        <x:v>Chattogram</x:v>
      </x:c>
      <x:c r="F3" t="str">
        <x:v>Online</x:v>
      </x:c>
      <x:c r="G3" t="n">
        <x:v>1738</x:v>
      </x:c>
      <x:c r="H3" t="n">
        <x:v>1250</x:v>
      </x:c>
      <x:c r="I3" t="n">
        <x:v>2172500</x:v>
      </x:c>
      <x:c r="J3" t="str"/>
    </x:row>
    <x:row r="4">
      <x:c r="A4" t="n">
        <x:v>45352</x:v>
      </x:c>
      <x:c r="B4" t="str">
        <x:v>Baby Diaper Pack</x:v>
      </x:c>
      <x:c r="C4" t="str">
        <x:v>Baby Care</x:v>
      </x:c>
      <x:c r="D4" t="str">
        <x:v>Pampers</x:v>
      </x:c>
      <x:c r="E4" t="str">
        <x:v>Sylhet</x:v>
      </x:c>
      <x:c r="F4" t="str">
        <x:v>Wholesale</x:v>
      </x:c>
      <x:c r="G4" t="n">
        <x:v>1921</x:v>
      </x:c>
      <x:c r="H4" t="n">
        <x:v>1250</x:v>
      </x:c>
      <x:c r="I4" t="n">
        <x:v>2401250</x:v>
      </x:c>
      <x:c r="J4" t="str"/>
    </x:row>
    <x:row r="5">
      <x:c r="A5" t="n">
        <x:v>45383</x:v>
      </x:c>
      <x:c r="B5" t="str">
        <x:v>Baby Diaper Pack</x:v>
      </x:c>
      <x:c r="C5" t="str">
        <x:v>Baby Care</x:v>
      </x:c>
      <x:c r="D5" t="str">
        <x:v>Pampers</x:v>
      </x:c>
      <x:c r="E5" t="str">
        <x:v>Rajshahi</x:v>
      </x:c>
      <x:c r="F5" t="str">
        <x:v>Modern Trade</x:v>
      </x:c>
      <x:c r="G5" t="n">
        <x:v>2013</x:v>
      </x:c>
      <x:c r="H5" t="n">
        <x:v>1250</x:v>
      </x:c>
      <x:c r="I5" t="n">
        <x:v>2516250</x:v>
      </x:c>
      <x:c r="J5" t="str"/>
    </x:row>
    <x:row r="6">
      <x:c r="A6" t="n">
        <x:v>45413</x:v>
      </x:c>
      <x:c r="B6" t="str">
        <x:v>Baby Diaper Pack</x:v>
      </x:c>
      <x:c r="C6" t="str">
        <x:v>Baby Care</x:v>
      </x:c>
      <x:c r="D6" t="str">
        <x:v>Pampers</x:v>
      </x:c>
      <x:c r="E6" t="str">
        <x:v>Khulna</x:v>
      </x:c>
      <x:c r="F6" t="str">
        <x:v>Retail</x:v>
      </x:c>
      <x:c r="G6" t="n">
        <x:v>2021</x:v>
      </x:c>
      <x:c r="H6" t="n">
        <x:v>1250</x:v>
      </x:c>
      <x:c r="I6" t="n">
        <x:v>2526250</x:v>
      </x:c>
      <x:c r="J6" t="str"/>
    </x:row>
    <x:row r="7">
      <x:c r="A7" t="n">
        <x:v>45444</x:v>
      </x:c>
      <x:c r="B7" t="str">
        <x:v>Baby Diaper Pack</x:v>
      </x:c>
      <x:c r="C7" t="str">
        <x:v>Baby Care</x:v>
      </x:c>
      <x:c r="D7" t="str">
        <x:v>Pampers</x:v>
      </x:c>
      <x:c r="E7" t="str">
        <x:v>Barishal</x:v>
      </x:c>
      <x:c r="F7" t="str">
        <x:v>Online</x:v>
      </x:c>
      <x:c r="G7" t="n">
        <x:v>1988</x:v>
      </x:c>
      <x:c r="H7" t="n">
        <x:v>1250</x:v>
      </x:c>
      <x:c r="I7" t="n">
        <x:v>2485000</x:v>
      </x:c>
      <x:c r="J7" t="str"/>
    </x:row>
    <x:row r="8">
      <x:c r="A8" t="n">
        <x:v>45474</x:v>
      </x:c>
      <x:c r="B8" t="str">
        <x:v>Baby Diaper Pack</x:v>
      </x:c>
      <x:c r="C8" t="str">
        <x:v>Baby Care</x:v>
      </x:c>
      <x:c r="D8" t="str">
        <x:v>Pampers</x:v>
      </x:c>
      <x:c r="E8" t="str">
        <x:v>Rangpur</x:v>
      </x:c>
      <x:c r="F8" t="str">
        <x:v>Wholesale</x:v>
      </x:c>
      <x:c r="G8" t="n">
        <x:v>1707</x:v>
      </x:c>
      <x:c r="H8" t="n">
        <x:v>1250</x:v>
      </x:c>
      <x:c r="I8" t="n">
        <x:v>2133750</x:v>
      </x:c>
      <x:c r="J8" t="str"/>
    </x:row>
    <x:row r="9">
      <x:c r="A9" t="n">
        <x:v>45505</x:v>
      </x:c>
      <x:c r="B9" t="str">
        <x:v>Baby Diaper Pack</x:v>
      </x:c>
      <x:c r="C9" t="str">
        <x:v>Baby Care</x:v>
      </x:c>
      <x:c r="D9" t="str">
        <x:v>Pampers</x:v>
      </x:c>
      <x:c r="E9" t="str">
        <x:v>Mymensingh</x:v>
      </x:c>
      <x:c r="F9" t="str">
        <x:v>Modern Trade</x:v>
      </x:c>
      <x:c r="G9" t="n">
        <x:v>1766</x:v>
      </x:c>
      <x:c r="H9" t="n">
        <x:v>1250</x:v>
      </x:c>
      <x:c r="I9" t="n">
        <x:v>2207500</x:v>
      </x:c>
      <x:c r="J9" t="str"/>
    </x:row>
    <x:row r="10">
      <x:c r="A10" t="n">
        <x:v>45536</x:v>
      </x:c>
      <x:c r="B10" t="str">
        <x:v>Baby Diaper Pack</x:v>
      </x:c>
      <x:c r="C10" t="str">
        <x:v>Baby Care</x:v>
      </x:c>
      <x:c r="D10" t="str">
        <x:v>Pampers</x:v>
      </x:c>
      <x:c r="E10" t="str">
        <x:v>Dhaka</x:v>
      </x:c>
      <x:c r="F10" t="str">
        <x:v>Retail</x:v>
      </x:c>
      <x:c r="G10" t="n">
        <x:v>1822</x:v>
      </x:c>
      <x:c r="H10" t="n">
        <x:v>1250</x:v>
      </x:c>
      <x:c r="I10" t="n">
        <x:v>2277500</x:v>
      </x:c>
      <x:c r="J10" t="str"/>
    </x:row>
    <x:row r="11">
      <x:c r="A11" t="n">
        <x:v>45566</x:v>
      </x:c>
      <x:c r="B11" t="str">
        <x:v>Baby Diaper Pack</x:v>
      </x:c>
      <x:c r="C11" t="str">
        <x:v>Baby Care</x:v>
      </x:c>
      <x:c r="D11" t="str">
        <x:v>Pampers</x:v>
      </x:c>
      <x:c r="E11" t="str">
        <x:v>Chattogram</x:v>
      </x:c>
      <x:c r="F11" t="str">
        <x:v>Online</x:v>
      </x:c>
      <x:c r="G11" t="n">
        <x:v>1903</x:v>
      </x:c>
      <x:c r="H11" t="n">
        <x:v>1250</x:v>
      </x:c>
      <x:c r="I11" t="n">
        <x:v>2378750</x:v>
      </x:c>
      <x:c r="J11" t="str"/>
    </x:row>
    <x:row r="12">
      <x:c r="A12" t="n">
        <x:v>45597</x:v>
      </x:c>
      <x:c r="B12" t="str">
        <x:v>Baby Diaper Pack</x:v>
      </x:c>
      <x:c r="C12" t="str">
        <x:v>Baby Care</x:v>
      </x:c>
      <x:c r="D12" t="str">
        <x:v>Pampers</x:v>
      </x:c>
      <x:c r="E12" t="str">
        <x:v>Sylhet</x:v>
      </x:c>
      <x:c r="F12" t="str">
        <x:v>Wholesale</x:v>
      </x:c>
      <x:c r="G12" t="n">
        <x:v>2091</x:v>
      </x:c>
      <x:c r="H12" t="n">
        <x:v>1250</x:v>
      </x:c>
      <x:c r="I12" t="n">
        <x:v>2613750</x:v>
      </x:c>
      <x:c r="J12" t="str"/>
    </x:row>
    <x:row r="13">
      <x:c r="A13" t="n">
        <x:v>45627</x:v>
      </x:c>
      <x:c r="B13" t="str">
        <x:v>Baby Diaper Pack</x:v>
      </x:c>
      <x:c r="C13" t="str">
        <x:v>Baby Care</x:v>
      </x:c>
      <x:c r="D13" t="str">
        <x:v>Pampers</x:v>
      </x:c>
      <x:c r="E13" t="str">
        <x:v>Rajshahi</x:v>
      </x:c>
      <x:c r="F13" t="str">
        <x:v>Modern Trade</x:v>
      </x:c>
      <x:c r="G13" t="n">
        <x:v>2051</x:v>
      </x:c>
      <x:c r="H13" t="n">
        <x:v>1250</x:v>
      </x:c>
      <x:c r="I13" t="n">
        <x:v>2563750</x:v>
      </x:c>
      <x:c r="J13" t="str"/>
    </x:row>
    <x:row r="14">
      <x:c r="A14" t="n">
        <x:v>45658</x:v>
      </x:c>
      <x:c r="B14" t="str">
        <x:v>Baby Diaper Pack</x:v>
      </x:c>
      <x:c r="C14" t="str">
        <x:v>Baby Care</x:v>
      </x:c>
      <x:c r="D14" t="str">
        <x:v>Pampers</x:v>
      </x:c>
      <x:c r="E14" t="str">
        <x:v>Khulna</x:v>
      </x:c>
      <x:c r="F14" t="str">
        <x:v>Retail</x:v>
      </x:c>
      <x:c r="G14" t="n">
        <x:v>1973</x:v>
      </x:c>
      <x:c r="H14" t="n">
        <x:v>1250</x:v>
      </x:c>
      <x:c r="I14" t="n">
        <x:v>2466250</x:v>
      </x:c>
      <x:c r="J14" t="str"/>
    </x:row>
    <x:row r="15">
      <x:c r="A15" t="n">
        <x:v>45689</x:v>
      </x:c>
      <x:c r="B15" t="str">
        <x:v>Baby Diaper Pack</x:v>
      </x:c>
      <x:c r="C15" t="str">
        <x:v>Baby Care</x:v>
      </x:c>
      <x:c r="D15" t="str">
        <x:v>Pampers</x:v>
      </x:c>
      <x:c r="E15" t="str">
        <x:v>Barishal</x:v>
      </x:c>
      <x:c r="F15" t="str">
        <x:v>Online</x:v>
      </x:c>
      <x:c r="G15" t="n">
        <x:v>1927</x:v>
      </x:c>
      <x:c r="H15" t="n">
        <x:v>1250</x:v>
      </x:c>
      <x:c r="I15" t="n">
        <x:v>2408750</x:v>
      </x:c>
      <x:c r="J15" t="str"/>
    </x:row>
    <x:row r="16">
      <x:c r="A16" t="n">
        <x:v>45717</x:v>
      </x:c>
      <x:c r="B16" t="str">
        <x:v>Baby Diaper Pack</x:v>
      </x:c>
      <x:c r="C16" t="str">
        <x:v>Baby Care</x:v>
      </x:c>
      <x:c r="D16" t="str">
        <x:v>Pampers</x:v>
      </x:c>
      <x:c r="E16" t="str">
        <x:v>Rangpur</x:v>
      </x:c>
      <x:c r="F16" t="str">
        <x:v>Wholesale</x:v>
      </x:c>
      <x:c r="G16" t="n">
        <x:v>2327</x:v>
      </x:c>
      <x:c r="H16" t="n">
        <x:v>1250</x:v>
      </x:c>
      <x:c r="I16" t="n">
        <x:v>2908750</x:v>
      </x:c>
      <x:c r="J16" t="str"/>
    </x:row>
    <x:row r="17">
      <x:c r="A17" t="n">
        <x:v>45748</x:v>
      </x:c>
      <x:c r="B17" t="str">
        <x:v>Baby Diaper Pack</x:v>
      </x:c>
      <x:c r="C17" t="str">
        <x:v>Baby Care</x:v>
      </x:c>
      <x:c r="D17" t="str">
        <x:v>Pampers</x:v>
      </x:c>
      <x:c r="E17" t="str">
        <x:v>Mymensingh</x:v>
      </x:c>
      <x:c r="F17" t="str">
        <x:v>Modern Trade</x:v>
      </x:c>
      <x:c r="G17" t="n">
        <x:v>2063</x:v>
      </x:c>
      <x:c r="H17" t="n">
        <x:v>1250</x:v>
      </x:c>
      <x:c r="I17" t="n">
        <x:v>2578750</x:v>
      </x:c>
      <x:c r="J17" t="str"/>
    </x:row>
    <x:row r="18">
      <x:c r="A18" t="n">
        <x:v>45778</x:v>
      </x:c>
      <x:c r="B18" t="str">
        <x:v>Baby Diaper Pack</x:v>
      </x:c>
      <x:c r="C18" t="str">
        <x:v>Baby Care</x:v>
      </x:c>
      <x:c r="D18" t="str">
        <x:v>Pampers</x:v>
      </x:c>
      <x:c r="E18" t="str">
        <x:v>Dhaka</x:v>
      </x:c>
      <x:c r="F18" t="str">
        <x:v>Retail</x:v>
      </x:c>
      <x:c r="G18" t="n">
        <x:v>2094</x:v>
      </x:c>
      <x:c r="H18" t="n">
        <x:v>1250</x:v>
      </x:c>
      <x:c r="I18" t="n">
        <x:v>2617500</x:v>
      </x:c>
      <x:c r="J18" t="str"/>
    </x:row>
    <x:row r="19">
      <x:c r="A19" t="n">
        <x:v>45809</x:v>
      </x:c>
      <x:c r="B19" t="str">
        <x:v>Baby Diaper Pack</x:v>
      </x:c>
      <x:c r="C19" t="str">
        <x:v>Baby Care</x:v>
      </x:c>
      <x:c r="D19" t="str">
        <x:v>Pampers</x:v>
      </x:c>
      <x:c r="E19" t="str">
        <x:v>Chattogram</x:v>
      </x:c>
      <x:c r="F19" t="str">
        <x:v>Online</x:v>
      </x:c>
      <x:c r="G19" t="n">
        <x:v>2340</x:v>
      </x:c>
      <x:c r="H19" t="n">
        <x:v>1250</x:v>
      </x:c>
      <x:c r="I19" t="n">
        <x:v>2925000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PAM-DPF-11-01</x:v>
      </x:c>
      <x:c r="B2" t="str">
        <x:v>Baby Diaper Pack</x:v>
      </x:c>
      <x:c r="C2" t="str">
        <x:v>Baby Care</x:v>
      </x:c>
      <x:c r="D2" t="str">
        <x:v>Pampers</x:v>
      </x:c>
      <x:c r="E2" t="str">
        <x:v>Dhaka</x:v>
      </x:c>
      <x:c r="F2" t="str">
        <x:v>Dhaka DC</x:v>
      </x:c>
      <x:c r="G2" t="n">
        <x:v>398</x:v>
      </x:c>
      <x:c r="H2" t="n">
        <x:v>631</x:v>
      </x:c>
      <x:c r="I2" t="n">
        <x:v>1386</x:v>
      </x:c>
      <x:c r="J2" t="n">
        <x:v>181</x:v>
      </x:c>
      <x:c r="K2" t="n">
        <x:v>120</x:v>
      </x:c>
      <x:c r="L2" t="n">
        <x:v>45672</x:v>
      </x:c>
      <x:c r="M2" t="str">
        <x:v>Stockout Risk</x:v>
      </x:c>
    </x:row>
    <x:row r="3">
      <x:c r="A3" t="str">
        <x:v>PAM-DPF-11-02</x:v>
      </x:c>
      <x:c r="B3" t="str">
        <x:v>Baby Diaper Pack</x:v>
      </x:c>
      <x:c r="C3" t="str">
        <x:v>Baby Care</x:v>
      </x:c>
      <x:c r="D3" t="str">
        <x:v>Pampers</x:v>
      </x:c>
      <x:c r="E3" t="str">
        <x:v>Chattogram</x:v>
      </x:c>
      <x:c r="F3" t="str">
        <x:v>Chattogram DC</x:v>
      </x:c>
      <x:c r="G3" t="n">
        <x:v>362</x:v>
      </x:c>
      <x:c r="H3" t="n">
        <x:v>502</x:v>
      </x:c>
      <x:c r="I3" t="n">
        <x:v>1373</x:v>
      </x:c>
      <x:c r="J3" t="n">
        <x:v>239</x:v>
      </x:c>
      <x:c r="K3" t="n">
        <x:v>120</x:v>
      </x:c>
      <x:c r="L3" t="n">
        <x:v>45673</x:v>
      </x:c>
      <x:c r="M3" t="str">
        <x:v>Stockout Risk</x:v>
      </x:c>
    </x:row>
    <x:row r="4">
      <x:c r="A4" t="str">
        <x:v>PAM-DPF-11-03</x:v>
      </x:c>
      <x:c r="B4" t="str">
        <x:v>Baby Diaper Pack</x:v>
      </x:c>
      <x:c r="C4" t="str">
        <x:v>Baby Care</x:v>
      </x:c>
      <x:c r="D4" t="str">
        <x:v>Pampers</x:v>
      </x:c>
      <x:c r="E4" t="str">
        <x:v>Sylhet</x:v>
      </x:c>
      <x:c r="F4" t="str">
        <x:v>Sylhet DC</x:v>
      </x:c>
      <x:c r="G4" t="n">
        <x:v>213</x:v>
      </x:c>
      <x:c r="H4" t="n">
        <x:v>634</x:v>
      </x:c>
      <x:c r="I4" t="n">
        <x:v>1295</x:v>
      </x:c>
      <x:c r="J4" t="n">
        <x:v>267</x:v>
      </x:c>
      <x:c r="K4" t="n">
        <x:v>120</x:v>
      </x:c>
      <x:c r="L4" t="n">
        <x:v>45674</x:v>
      </x:c>
      <x:c r="M4" t="str">
        <x:v>Stockout Risk</x:v>
      </x:c>
    </x:row>
    <x:row r="5">
      <x:c r="A5" t="str">
        <x:v>PAM-DPF-11-04</x:v>
      </x:c>
      <x:c r="B5" t="str">
        <x:v>Baby Diaper Pack</x:v>
      </x:c>
      <x:c r="C5" t="str">
        <x:v>Baby Care</x:v>
      </x:c>
      <x:c r="D5" t="str">
        <x:v>Pampers</x:v>
      </x:c>
      <x:c r="E5" t="str">
        <x:v>Rajshahi</x:v>
      </x:c>
      <x:c r="F5" t="str">
        <x:v>Rajshahi DC</x:v>
      </x:c>
      <x:c r="G5" t="n">
        <x:v>3559</x:v>
      </x:c>
      <x:c r="H5" t="n">
        <x:v>659</x:v>
      </x:c>
      <x:c r="I5" t="n">
        <x:v>1307</x:v>
      </x:c>
      <x:c r="J5" t="n">
        <x:v>142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PAM-DPF-11-05</x:v>
      </x:c>
      <x:c r="B6" t="str">
        <x:v>Baby Diaper Pack</x:v>
      </x:c>
      <x:c r="C6" t="str">
        <x:v>Baby Care</x:v>
      </x:c>
      <x:c r="D6" t="str">
        <x:v>Pampers</x:v>
      </x:c>
      <x:c r="E6" t="str">
        <x:v>Khulna</x:v>
      </x:c>
      <x:c r="F6" t="str">
        <x:v>Khulna DC</x:v>
      </x:c>
      <x:c r="G6" t="n">
        <x:v>2820</x:v>
      </x:c>
      <x:c r="H6" t="n">
        <x:v>544</x:v>
      </x:c>
      <x:c r="I6" t="n">
        <x:v>1418</x:v>
      </x:c>
      <x:c r="J6" t="n">
        <x:v>525</x:v>
      </x:c>
      <x:c r="K6" t="n">
        <x:v>120</x:v>
      </x:c>
      <x:c r="L6" t="n">
        <x:v>45676</x:v>
      </x:c>
      <x:c r="M6" t="str">
        <x:v>OK</x:v>
      </x:c>
    </x:row>
    <x:row r="7">
      <x:c r="A7" t="str">
        <x:v>PAM-DPF-11-06</x:v>
      </x:c>
      <x:c r="B7" t="str">
        <x:v>Baby Diaper Pack</x:v>
      </x:c>
      <x:c r="C7" t="str">
        <x:v>Baby Care</x:v>
      </x:c>
      <x:c r="D7" t="str">
        <x:v>Pampers</x:v>
      </x:c>
      <x:c r="E7" t="str">
        <x:v>Barishal</x:v>
      </x:c>
      <x:c r="F7" t="str">
        <x:v>Barishal DC</x:v>
      </x:c>
      <x:c r="G7" t="n">
        <x:v>467</x:v>
      </x:c>
      <x:c r="H7" t="n">
        <x:v>520</x:v>
      </x:c>
      <x:c r="I7" t="n">
        <x:v>1172</x:v>
      </x:c>
      <x:c r="J7" t="n">
        <x:v>468</x:v>
      </x:c>
      <x:c r="K7" t="n">
        <x:v>120</x:v>
      </x:c>
      <x:c r="L7" t="n">
        <x:v>45677</x:v>
      </x:c>
      <x:c r="M7" t="str">
        <x:v>Stockout Risk</x:v>
      </x:c>
    </x:row>
    <x:row r="8">
      <x:c r="A8" t="str">
        <x:v>PAM-DPF-11-07</x:v>
      </x:c>
      <x:c r="B8" t="str">
        <x:v>Baby Diaper Pack</x:v>
      </x:c>
      <x:c r="C8" t="str">
        <x:v>Baby Care</x:v>
      </x:c>
      <x:c r="D8" t="str">
        <x:v>Pampers</x:v>
      </x:c>
      <x:c r="E8" t="str">
        <x:v>Rangpur</x:v>
      </x:c>
      <x:c r="F8" t="str">
        <x:v>Rangpur DC</x:v>
      </x:c>
      <x:c r="G8" t="n">
        <x:v>1871</x:v>
      </x:c>
      <x:c r="H8" t="n">
        <x:v>562</x:v>
      </x:c>
      <x:c r="I8" t="n">
        <x:v>1204</x:v>
      </x:c>
      <x:c r="J8" t="n">
        <x:v>338</x:v>
      </x:c>
      <x:c r="K8" t="n">
        <x:v>120</x:v>
      </x:c>
      <x:c r="L8" t="n">
        <x:v>45678</x:v>
      </x:c>
      <x:c r="M8" t="str">
        <x:v>OK</x:v>
      </x:c>
    </x:row>
    <x:row r="9">
      <x:c r="A9" t="str">
        <x:v>PAM-DPF-11-08</x:v>
      </x:c>
      <x:c r="B9" t="str">
        <x:v>Baby Diaper Pack</x:v>
      </x:c>
      <x:c r="C9" t="str">
        <x:v>Baby Care</x:v>
      </x:c>
      <x:c r="D9" t="str">
        <x:v>Pampers</x:v>
      </x:c>
      <x:c r="E9" t="str">
        <x:v>Mymensingh</x:v>
      </x:c>
      <x:c r="F9" t="str">
        <x:v>Mymensingh DC</x:v>
      </x:c>
      <x:c r="G9" t="n">
        <x:v>1456</x:v>
      </x:c>
      <x:c r="H9" t="n">
        <x:v>588</x:v>
      </x:c>
      <x:c r="I9" t="n">
        <x:v>1447</x:v>
      </x:c>
      <x:c r="J9" t="n">
        <x:v>458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13.6</x:v>
      </x:c>
      <x:c r="G2" t="n">
        <x:v>13.9</x:v>
      </x:c>
      <x:c r="H2" t="n">
        <x:v>122815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22.4</x:v>
      </x:c>
      <x:c r="G3" t="n">
        <x:v>23.5</x:v>
      </x:c>
      <x:c r="H3" t="n">
        <x:v>117794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24.6</x:v>
      </x:c>
      <x:c r="G4" t="n">
        <x:v>16.7</x:v>
      </x:c>
      <x:c r="H4" t="n">
        <x:v>107197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17.2</x:v>
      </x:c>
      <x:c r="G5" t="n">
        <x:v>12.2</x:v>
      </x:c>
      <x:c r="H5" t="n">
        <x:v>139369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Baby Care</x:v>
      </x:c>
      <x:c r="E2" t="n">
        <x:v>1027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Baby Care</x:v>
      </x:c>
      <x:c r="E3" t="n">
        <x:v>1273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Baby Care</x:v>
      </x:c>
      <x:c r="E4" t="n">
        <x:v>1443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Baby Care</x:v>
      </x:c>
      <x:c r="E5" t="n">
        <x:v>1208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7.76</x:v>
      </x:c>
      <x:c r="C2" t="n">
        <x:v>100.76</x:v>
      </x:c>
      <x:c r="D2" t="n">
        <x:v>87.03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7.88</x:v>
      </x:c>
      <x:c r="C3" t="n">
        <x:v>99.7</x:v>
      </x:c>
      <x:c r="D3" t="n">
        <x:v>86.52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8.52</x:v>
      </x:c>
      <x:c r="C4" t="n">
        <x:v>100.24</x:v>
      </x:c>
      <x:c r="D4" t="n">
        <x:v>85.59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8.6</x:v>
      </x:c>
      <x:c r="C5" t="n">
        <x:v>101.72</x:v>
      </x:c>
      <x:c r="D5" t="n">
        <x:v>85.9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8.42</x:v>
      </x:c>
      <x:c r="C6" t="n">
        <x:v>101.35</x:v>
      </x:c>
      <x:c r="D6" t="n">
        <x:v>86.09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8.72</x:v>
      </x:c>
      <x:c r="C7" t="n">
        <x:v>101.95</x:v>
      </x:c>
      <x:c r="D7" t="n">
        <x:v>85.77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8.85</x:v>
      </x:c>
      <x:c r="C8" t="n">
        <x:v>102.63</x:v>
      </x:c>
      <x:c r="D8" t="n">
        <x:v>85.74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8.17</x:v>
      </x:c>
      <x:c r="C9" t="n">
        <x:v>102.86</x:v>
      </x:c>
      <x:c r="D9" t="n">
        <x:v>86.97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7.85</x:v>
      </x:c>
      <x:c r="C10" t="n">
        <x:v>103.24</x:v>
      </x:c>
      <x:c r="D10" t="n">
        <x:v>87.62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7.97</x:v>
      </x:c>
      <x:c r="C11" t="n">
        <x:v>102.49</x:v>
      </x:c>
      <x:c r="D11" t="n">
        <x:v>87.2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7.27</x:v>
      </x:c>
      <x:c r="C12" t="n">
        <x:v>103.87</x:v>
      </x:c>
      <x:c r="D12" t="n">
        <x:v>88.81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7.18</x:v>
      </x:c>
      <x:c r="C13" t="n">
        <x:v>104.15</x:v>
      </x:c>
      <x:c r="D13" t="n">
        <x:v>89.05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6.82</x:v>
      </x:c>
      <x:c r="C14" t="n">
        <x:v>102.62</x:v>
      </x:c>
      <x:c r="D14" t="n">
        <x:v>89.2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6.43</x:v>
      </x:c>
      <x:c r="C15" t="n">
        <x:v>103.11</x:v>
      </x:c>
      <x:c r="D15" t="n">
        <x:v>90.01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6.59</x:v>
      </x:c>
      <x:c r="C16" t="n">
        <x:v>103.77</x:v>
      </x:c>
      <x:c r="D16" t="n">
        <x:v>89.93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6.64</x:v>
      </x:c>
      <x:c r="C17" t="n">
        <x:v>104.59</x:v>
      </x:c>
      <x:c r="D17" t="n">
        <x:v>90.08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6.52</x:v>
      </x:c>
      <x:c r="C18" t="n">
        <x:v>105.68</x:v>
      </x:c>
      <x:c r="D18" t="n">
        <x:v>90.62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7.02</x:v>
      </x:c>
      <x:c r="C19" t="n">
        <x:v>105.04</x:v>
      </x:c>
      <x:c r="D19" t="n">
        <x:v>89.58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6</x:v>
      </x:c>
      <x:c r="F2" t="n">
        <x:v>7</x:v>
      </x:c>
      <x:c r="G2" t="n">
        <x:v>2</x:v>
      </x:c>
      <x:c r="H2" t="n">
        <x:v>18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9</x:v>
      </x:c>
      <x:c r="F3" t="n">
        <x:v>4</x:v>
      </x:c>
      <x:c r="G3" t="n">
        <x:v>1</x:v>
      </x:c>
      <x:c r="H3" t="n">
        <x:v>19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9</x:v>
      </x:c>
      <x:c r="F4" t="n">
        <x:v>5</x:v>
      </x:c>
      <x:c r="G4" t="n">
        <x:v>2</x:v>
      </x:c>
      <x:c r="H4" t="n">
        <x:v>20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6</x:v>
      </x:c>
      <x:c r="E5" t="n">
        <x:v>11</x:v>
      </x:c>
      <x:c r="F5" t="n">
        <x:v>8</x:v>
      </x:c>
      <x:c r="G5" t="n">
        <x:v>5</x:v>
      </x:c>
      <x:c r="H5" t="n">
        <x:v>30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1690</x:v>
      </x:c>
      <x:c r="C2" t="n">
        <x:v>1657</x:v>
      </x:c>
      <x:c r="D2" t="n">
        <x:f>C2-B2</x:f>
        <x:v>-33</x:v>
      </x:c>
      <x:c r="E2" t="n">
        <x:f>ABS(D2)</x:f>
        <x:v>33</x:v>
      </x:c>
      <x:c r="F2" s="22" t="n">
        <x:f>IFERROR(E2/C2,0)</x:f>
        <x:v>0.019915509957754977</x:v>
      </x:c>
      <x:c r="G2" t="str">
        <x:v>Formula columns should calculate error and accuracy</x:v>
      </x:c>
    </x:row>
    <x:row r="3">
      <x:c r="A3" t="n">
        <x:v>45505</x:v>
      </x:c>
      <x:c r="B3" t="n">
        <x:v>1641</x:v>
      </x:c>
      <x:c r="C3" t="n">
        <x:v>1990</x:v>
      </x:c>
      <x:c r="D3" t="n">
        <x:f>C3-B3</x:f>
        <x:v>349</x:v>
      </x:c>
      <x:c r="E3" t="n">
        <x:f>ABS(D3)</x:f>
        <x:v>349</x:v>
      </x:c>
      <x:c r="F3" s="22" t="n">
        <x:f>IFERROR(E3/C3,0)</x:f>
        <x:v>0.17537688442211055</x:v>
      </x:c>
      <x:c r="G3" t="str">
        <x:v>Formula columns should calculate error and accuracy</x:v>
      </x:c>
    </x:row>
    <x:row r="4">
      <x:c r="A4" t="n">
        <x:v>45536</x:v>
      </x:c>
      <x:c r="B4" t="n">
        <x:v>1812</x:v>
      </x:c>
      <x:c r="C4" t="n">
        <x:v>2164</x:v>
      </x:c>
      <x:c r="D4" t="n">
        <x:f>C4-B4</x:f>
        <x:v>352</x:v>
      </x:c>
      <x:c r="E4" t="n">
        <x:f>ABS(D4)</x:f>
        <x:v>352</x:v>
      </x:c>
      <x:c r="F4" s="22" t="n">
        <x:f>IFERROR(E4/C4,0)</x:f>
        <x:v>0.16266173752310537</x:v>
      </x:c>
      <x:c r="G4" t="str">
        <x:v>Formula columns should calculate error and accuracy</x:v>
      </x:c>
    </x:row>
    <x:row r="5">
      <x:c r="A5" t="n">
        <x:v>45566</x:v>
      </x:c>
      <x:c r="B5" t="n">
        <x:v>1672</x:v>
      </x:c>
      <x:c r="C5" t="n">
        <x:v>1628</x:v>
      </x:c>
      <x:c r="D5" t="n">
        <x:f>C5-B5</x:f>
        <x:v>-44</x:v>
      </x:c>
      <x:c r="E5" t="n">
        <x:f>ABS(D5)</x:f>
        <x:v>44</x:v>
      </x:c>
      <x:c r="F5" s="22" t="n">
        <x:f>IFERROR(E5/C5,0)</x:f>
        <x:v>0.02702702702702703</x:v>
      </x:c>
      <x:c r="G5" t="str">
        <x:v>Formula columns should calculate error and accuracy</x:v>
      </x:c>
    </x:row>
    <x:row r="6">
      <x:c r="A6" t="n">
        <x:v>45597</x:v>
      </x:c>
      <x:c r="B6" t="n">
        <x:v>1870</x:v>
      </x:c>
      <x:c r="C6" t="n">
        <x:v>1733</x:v>
      </x:c>
      <x:c r="D6" t="n">
        <x:f>C6-B6</x:f>
        <x:v>-137</x:v>
      </x:c>
      <x:c r="E6" t="n">
        <x:f>ABS(D6)</x:f>
        <x:v>137</x:v>
      </x:c>
      <x:c r="F6" s="22" t="n">
        <x:f>IFERROR(E6/C6,0)</x:f>
        <x:v>0.07905366416618581</x:v>
      </x:c>
      <x:c r="G6" t="str">
        <x:v>Formula columns should calculate error and accuracy</x:v>
      </x:c>
    </x:row>
    <x:row r="7">
      <x:c r="A7" t="n">
        <x:v>45627</x:v>
      </x:c>
      <x:c r="B7" t="n">
        <x:v>1859</x:v>
      </x:c>
      <x:c r="C7" t="n">
        <x:v>1957</x:v>
      </x:c>
      <x:c r="D7" t="n">
        <x:f>C7-B7</x:f>
        <x:v>98</x:v>
      </x:c>
      <x:c r="E7" t="n">
        <x:f>ABS(D7)</x:f>
        <x:v>98</x:v>
      </x:c>
      <x:c r="F7" s="22" t="n">
        <x:f>IFERROR(E7/C7,0)</x:f>
        <x:v>0.050076647930505876</x:v>
      </x:c>
      <x:c r="G7" t="str">
        <x:v>Formula columns should calculate error and accuracy</x:v>
      </x:c>
    </x:row>
    <x:row r="8">
      <x:c r="A8" t="n">
        <x:v>45658</x:v>
      </x:c>
      <x:c r="B8" t="n">
        <x:v>1989</x:v>
      </x:c>
      <x:c r="C8" t="n">
        <x:v>1839</x:v>
      </x:c>
      <x:c r="D8" t="n">
        <x:f>C8-B8</x:f>
        <x:v>-150</x:v>
      </x:c>
      <x:c r="E8" t="n">
        <x:f>ABS(D8)</x:f>
        <x:v>150</x:v>
      </x:c>
      <x:c r="F8" s="22" t="n">
        <x:f>IFERROR(E8/C8,0)</x:f>
        <x:v>0.08156606851549755</x:v>
      </x:c>
      <x:c r="G8" t="str">
        <x:v>Formula columns should calculate error and accuracy</x:v>
      </x:c>
    </x:row>
    <x:row r="9">
      <x:c r="A9" t="n">
        <x:v>45689</x:v>
      </x:c>
      <x:c r="B9" t="n">
        <x:v>1939</x:v>
      </x:c>
      <x:c r="C9" t="n">
        <x:v>1773</x:v>
      </x:c>
      <x:c r="D9" t="n">
        <x:f>C9-B9</x:f>
        <x:v>-166</x:v>
      </x:c>
      <x:c r="E9" t="n">
        <x:f>ABS(D9)</x:f>
        <x:v>166</x:v>
      </x:c>
      <x:c r="F9" s="22" t="n">
        <x:f>IFERROR(E9/C9,0)</x:f>
        <x:v>0.09362662154540327</x:v>
      </x:c>
      <x:c r="G9" t="str">
        <x:v>Formula columns should calculate error and accuracy</x:v>
      </x:c>
    </x:row>
    <x:row r="10">
      <x:c r="A10" t="n">
        <x:v>45717</x:v>
      </x:c>
      <x:c r="B10" t="n">
        <x:v>2098</x:v>
      </x:c>
      <x:c r="C10" t="n">
        <x:v>2111</x:v>
      </x:c>
      <x:c r="D10" t="n">
        <x:f>C10-B10</x:f>
        <x:v>13</x:v>
      </x:c>
      <x:c r="E10" t="n">
        <x:f>ABS(D10)</x:f>
        <x:v>13</x:v>
      </x:c>
      <x:c r="F10" s="22" t="n">
        <x:f>IFERROR(E10/C10,0)</x:f>
        <x:v>0.006158218853623875</x:v>
      </x:c>
      <x:c r="G10" t="str">
        <x:v>Formula columns should calculate error and accuracy</x:v>
      </x:c>
    </x:row>
    <x:row r="11">
      <x:c r="A11" t="n">
        <x:v>45748</x:v>
      </x:c>
      <x:c r="B11" t="n">
        <x:v>1924</x:v>
      </x:c>
      <x:c r="C11" t="n">
        <x:v>2106</x:v>
      </x:c>
      <x:c r="D11" t="n">
        <x:f>C11-B11</x:f>
        <x:v>182</x:v>
      </x:c>
      <x:c r="E11" t="n">
        <x:f>ABS(D11)</x:f>
        <x:v>182</x:v>
      </x:c>
      <x:c r="F11" s="22" t="n">
        <x:f>IFERROR(E11/C11,0)</x:f>
        <x:v>0.08641975308641975</x:v>
      </x:c>
      <x:c r="G11" t="str">
        <x:v>Formula columns should calculate error and accuracy</x:v>
      </x:c>
    </x:row>
    <x:row r="12">
      <x:c r="A12" t="n">
        <x:v>45778</x:v>
      </x:c>
      <x:c r="B12" t="n">
        <x:v>2278</x:v>
      </x:c>
      <x:c r="C12" t="n">
        <x:v>2677</x:v>
      </x:c>
      <x:c r="D12" t="n">
        <x:f>C12-B12</x:f>
        <x:v>399</x:v>
      </x:c>
      <x:c r="E12" t="n">
        <x:f>ABS(D12)</x:f>
        <x:v>399</x:v>
      </x:c>
      <x:c r="F12" s="22" t="n">
        <x:f>IFERROR(E12/C12,0)</x:f>
        <x:v>0.14904744116548374</x:v>
      </x:c>
      <x:c r="G12" t="str">
        <x:v>Formula columns should calculate error and accuracy</x:v>
      </x:c>
    </x:row>
    <x:row r="13">
      <x:c r="A13" t="n">
        <x:v>45809</x:v>
      </x:c>
      <x:c r="B13" t="n">
        <x:v>2250</x:v>
      </x:c>
      <x:c r="C13" t="n">
        <x:v>2466</x:v>
      </x:c>
      <x:c r="D13" t="n">
        <x:f>C13-B13</x:f>
        <x:v>216</x:v>
      </x:c>
      <x:c r="E13" t="n">
        <x:f>ABS(D13)</x:f>
        <x:v>216</x:v>
      </x:c>
      <x:c r="F13" s="22" t="n">
        <x:f>IFERROR(E13/C13,0)</x:f>
        <x:v>0.08759124087591241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93</x:v>
      </x:c>
      <x:c r="E2" t="n">
        <x:v>1966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63</x:v>
      </x:c>
      <x:c r="E3" t="n">
        <x:v>1029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59</x:v>
      </x:c>
      <x:c r="E4" t="n">
        <x:v>888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53</x:v>
      </x:c>
      <x:c r="E5" t="n">
        <x:v>917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74</x:v>
      </x:c>
      <x:c r="E6" t="n">
        <x:v>1455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83</x:v>
      </x:c>
      <x:c r="E7" t="n">
        <x:v>1361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89</x:v>
      </x:c>
      <x:c r="E8" t="n">
        <x:v>1596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75</x:v>
      </x:c>
      <x:c r="E9" t="n">
        <x:v>1481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4</x:v>
      </x:c>
      <x:c r="F2" t="n">
        <x:v>6041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9</x:v>
      </x:c>
      <x:c r="F3" t="n">
        <x:v>12016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2</x:v>
      </x:c>
      <x:c r="F4" t="n">
        <x:v>3376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1</x:v>
      </x:c>
      <x:c r="F5" t="n">
        <x:v>1622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9</x:v>
      </x:c>
      <x:c r="F6" t="n">
        <x:v>10012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133</x:v>
      </x:c>
      <x:c r="F2" t="n">
        <x:v>91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133</x:v>
      </x:c>
      <x:c r="F3" t="n">
        <x:v>73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36</x:v>
      </x:c>
      <x:c r="F4" t="n">
        <x:v>92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23</x:v>
      </x:c>
      <x:c r="F5" t="n">
        <x:v>75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Baby Diaper Pack Pampers Baby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Baby Diaper Pack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Baby Care competitor pricing promotions Bangladesh Pampers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Baby Diaper Pack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62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88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76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74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