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61d48b051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14a796eee26f42e1"/>
    <x:sheet xmlns:r="http://schemas.openxmlformats.org/officeDocument/2006/relationships" name="Historical_Sales" sheetId="2" r:id="R09c7816db8464cb3"/>
    <x:sheet xmlns:r="http://schemas.openxmlformats.org/officeDocument/2006/relationships" name="Inventory" sheetId="3" r:id="R11271cba7bd649d3"/>
    <x:sheet xmlns:r="http://schemas.openxmlformats.org/officeDocument/2006/relationships" name="Promotions" sheetId="4" r:id="R2b358469ad5a4ec3"/>
    <x:sheet xmlns:r="http://schemas.openxmlformats.org/officeDocument/2006/relationships" name="Competitors" sheetId="5" r:id="R17ec6e8fb422445f"/>
    <x:sheet xmlns:r="http://schemas.openxmlformats.org/officeDocument/2006/relationships" name="Economic" sheetId="6" r:id="R324fc062edda4922"/>
    <x:sheet xmlns:r="http://schemas.openxmlformats.org/officeDocument/2006/relationships" name="Lead_Time" sheetId="7" r:id="Rc6238a8fd01c4297"/>
    <x:sheet xmlns:r="http://schemas.openxmlformats.org/officeDocument/2006/relationships" name="Forecast_Actual" sheetId="8" r:id="R086c34873fc14f67"/>
    <x:sheet xmlns:r="http://schemas.openxmlformats.org/officeDocument/2006/relationships" name="Regional_Demand_Map" sheetId="9" r:id="R732369f5c0cd4f29"/>
    <x:sheet xmlns:r="http://schemas.openxmlformats.org/officeDocument/2006/relationships" name="SCM_Flow_Map" sheetId="10" r:id="R253a24c2685b460e"/>
    <x:sheet xmlns:r="http://schemas.openxmlformats.org/officeDocument/2006/relationships" name="Customer_Patterns" sheetId="11" r:id="R730366acd5044a2d"/>
    <x:sheet xmlns:r="http://schemas.openxmlformats.org/officeDocument/2006/relationships" name="Technology_Data" sheetId="12" r:id="R3b689867ddfc4ae9"/>
    <x:sheet xmlns:r="http://schemas.openxmlformats.org/officeDocument/2006/relationships" name="Web_Search_Seeds" sheetId="13" r:id="Rbf773193f7154a96"/>
    <x:sheet xmlns:r="http://schemas.openxmlformats.org/officeDocument/2006/relationships" name="Manual_Expert_Opinion" sheetId="14" r:id="R71a80dfe84544380"/>
    <x:sheet xmlns:r="http://schemas.openxmlformats.org/officeDocument/2006/relationships" name="Data_Issues" sheetId="15" r:id="Rb0ef1b18d598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c0f115e204608" /><Relationship Type="http://schemas.openxmlformats.org/officeDocument/2006/relationships/theme" Target="/xl/theme/theme1.xml" Id="Rf71951ad4e714892" /><Relationship Type="http://schemas.openxmlformats.org/officeDocument/2006/relationships/sharedStrings" Target="/xl/sharedStrings.xml" Id="R7aa2d24133364bc3" /><Relationship Type="http://schemas.openxmlformats.org/officeDocument/2006/relationships/worksheet" Target="/xl/worksheets/sheet1.xml" Id="R14a796eee26f42e1" /><Relationship Type="http://schemas.openxmlformats.org/officeDocument/2006/relationships/worksheet" Target="/xl/worksheets/sheet2.xml" Id="R09c7816db8464cb3" /><Relationship Type="http://schemas.openxmlformats.org/officeDocument/2006/relationships/worksheet" Target="/xl/worksheets/sheet3.xml" Id="R11271cba7bd649d3" /><Relationship Type="http://schemas.openxmlformats.org/officeDocument/2006/relationships/worksheet" Target="/xl/worksheets/sheet4.xml" Id="R2b358469ad5a4ec3" /><Relationship Type="http://schemas.openxmlformats.org/officeDocument/2006/relationships/worksheet" Target="/xl/worksheets/sheet5.xml" Id="R17ec6e8fb422445f" /><Relationship Type="http://schemas.openxmlformats.org/officeDocument/2006/relationships/worksheet" Target="/xl/worksheets/sheet6.xml" Id="R324fc062edda4922" /><Relationship Type="http://schemas.openxmlformats.org/officeDocument/2006/relationships/worksheet" Target="/xl/worksheets/sheet7.xml" Id="Rc6238a8fd01c4297" /><Relationship Type="http://schemas.openxmlformats.org/officeDocument/2006/relationships/worksheet" Target="/xl/worksheets/sheet8.xml" Id="R086c34873fc14f67" /><Relationship Type="http://schemas.openxmlformats.org/officeDocument/2006/relationships/worksheet" Target="/xl/worksheets/sheet9.xml" Id="R732369f5c0cd4f29" /><Relationship Type="http://schemas.openxmlformats.org/officeDocument/2006/relationships/worksheet" Target="/xl/worksheets/sheet10.xml" Id="R253a24c2685b460e" /><Relationship Type="http://schemas.openxmlformats.org/officeDocument/2006/relationships/worksheet" Target="/xl/worksheets/sheet11.xml" Id="R730366acd5044a2d" /><Relationship Type="http://schemas.openxmlformats.org/officeDocument/2006/relationships/worksheet" Target="/xl/worksheets/sheet12.xml" Id="R3b689867ddfc4ae9" /><Relationship Type="http://schemas.openxmlformats.org/officeDocument/2006/relationships/worksheet" Target="/xl/worksheets/sheet13.xml" Id="Rbf773193f7154a96" /><Relationship Type="http://schemas.openxmlformats.org/officeDocument/2006/relationships/worksheet" Target="/xl/worksheets/sheet14.xml" Id="R71a80dfe84544380" /><Relationship Type="http://schemas.openxmlformats.org/officeDocument/2006/relationships/worksheet" Target="/xl/worksheets/sheet15.xml" Id="Rb0ef1b18d59846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DPF-03</x:v>
      </x:c>
    </x:row>
    <x:row r="3">
      <x:c r="A3" t="str">
        <x:v>Scenario Title</x:v>
      </x:c>
      <x:c r="B3" t="str">
        <x:v>Winter Seasonal Demand Increase</x:v>
      </x:c>
    </x:row>
    <x:row r="4">
      <x:c r="A4" t="str">
        <x:v>Purpose</x:v>
      </x:c>
      <x:c r="B4" t="str">
        <x:v>Test winter seasonality for apparel.</x:v>
      </x:c>
    </x:row>
    <x:row r="5">
      <x:c r="A5" t="str">
        <x:v>Product Name</x:v>
      </x:c>
      <x:c r="B5" t="str">
        <x:v>Hoodie Classic</x:v>
      </x:c>
    </x:row>
    <x:row r="6">
      <x:c r="A6" t="str">
        <x:v>Category</x:v>
      </x:c>
      <x:c r="B6" t="str">
        <x:v>Clothing</x:v>
      </x:c>
    </x:row>
    <x:row r="7">
      <x:c r="A7" t="str">
        <x:v>Brand</x:v>
      </x:c>
      <x:c r="B7" t="str">
        <x:v>Trunk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Seasonality, Historical Sales, Inventory</x:v>
      </x:c>
    </x:row>
    <x:row r="11">
      <x:c r="A11" t="str">
        <x:v>Recommended Inputs To Tick</x:v>
      </x:c>
      <x:c r="B11" t="str">
        <x:v>Historical Sales Data, Seasonality, Inventory Levels</x:v>
      </x:c>
    </x:row>
    <x:row r="12">
      <x:c r="A12" t="str">
        <x:v>Recommended Outputs To Tick</x:v>
      </x:c>
      <x:c r="B12" t="str">
        <x:v>Seasonal Demand Impact, Demand Forecast, Inventory Requirement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Hoodie Classic</x:v>
      </x:c>
      <x:c r="C2" t="str">
        <x:v>Clothing</x:v>
      </x:c>
      <x:c r="D2" t="str">
        <x:v>Trunk</x:v>
      </x:c>
      <x:c r="E2" t="str">
        <x:v>Dhaka</x:v>
      </x:c>
      <x:c r="F2" t="str">
        <x:v>Retail</x:v>
      </x:c>
      <x:c r="G2" t="n">
        <x:v>1355</x:v>
      </x:c>
      <x:c r="H2" t="n">
        <x:v>1450</x:v>
      </x:c>
      <x:c r="I2" t="n">
        <x:v>1964750</x:v>
      </x:c>
      <x:c r="J2" t="str">
        <x:v>Winter seasonal lift</x:v>
      </x:c>
    </x:row>
    <x:row r="3">
      <x:c r="A3" t="n">
        <x:v>45323</x:v>
      </x:c>
      <x:c r="B3" t="str">
        <x:v>Hoodie Classic</x:v>
      </x:c>
      <x:c r="C3" t="str">
        <x:v>Clothing</x:v>
      </x:c>
      <x:c r="D3" t="str">
        <x:v>Trunk</x:v>
      </x:c>
      <x:c r="E3" t="str">
        <x:v>Chattogram</x:v>
      </x:c>
      <x:c r="F3" t="str">
        <x:v>Online</x:v>
      </x:c>
      <x:c r="G3" t="n">
        <x:v>921</x:v>
      </x:c>
      <x:c r="H3" t="n">
        <x:v>1450</x:v>
      </x:c>
      <x:c r="I3" t="n">
        <x:v>1335450</x:v>
      </x:c>
      <x:c r="J3" t="str"/>
    </x:row>
    <x:row r="4">
      <x:c r="A4" t="n">
        <x:v>45352</x:v>
      </x:c>
      <x:c r="B4" t="str">
        <x:v>Hoodie Classic</x:v>
      </x:c>
      <x:c r="C4" t="str">
        <x:v>Clothing</x:v>
      </x:c>
      <x:c r="D4" t="str">
        <x:v>Trunk</x:v>
      </x:c>
      <x:c r="E4" t="str">
        <x:v>Sylhet</x:v>
      </x:c>
      <x:c r="F4" t="str">
        <x:v>Wholesale</x:v>
      </x:c>
      <x:c r="G4" t="n">
        <x:v>1025</x:v>
      </x:c>
      <x:c r="H4" t="n">
        <x:v>1450</x:v>
      </x:c>
      <x:c r="I4" t="n">
        <x:v>1486250</x:v>
      </x:c>
      <x:c r="J4" t="str"/>
    </x:row>
    <x:row r="5">
      <x:c r="A5" t="n">
        <x:v>45383</x:v>
      </x:c>
      <x:c r="B5" t="str">
        <x:v>Hoodie Classic</x:v>
      </x:c>
      <x:c r="C5" t="str">
        <x:v>Clothing</x:v>
      </x:c>
      <x:c r="D5" t="str">
        <x:v>Trunk</x:v>
      </x:c>
      <x:c r="E5" t="str">
        <x:v>Rajshahi</x:v>
      </x:c>
      <x:c r="F5" t="str">
        <x:v>Modern Trade</x:v>
      </x:c>
      <x:c r="G5" t="n">
        <x:v>854</x:v>
      </x:c>
      <x:c r="H5" t="n">
        <x:v>1450</x:v>
      </x:c>
      <x:c r="I5" t="n">
        <x:v>1238300</x:v>
      </x:c>
      <x:c r="J5" t="str"/>
    </x:row>
    <x:row r="6">
      <x:c r="A6" t="n">
        <x:v>45413</x:v>
      </x:c>
      <x:c r="B6" t="str">
        <x:v>Hoodie Classic</x:v>
      </x:c>
      <x:c r="C6" t="str">
        <x:v>Clothing</x:v>
      </x:c>
      <x:c r="D6" t="str">
        <x:v>Trunk</x:v>
      </x:c>
      <x:c r="E6" t="str">
        <x:v>Khulna</x:v>
      </x:c>
      <x:c r="F6" t="str">
        <x:v>Retail</x:v>
      </x:c>
      <x:c r="G6" t="n">
        <x:v>1062</x:v>
      </x:c>
      <x:c r="H6" t="n">
        <x:v>1450</x:v>
      </x:c>
      <x:c r="I6" t="n">
        <x:v>1539900</x:v>
      </x:c>
      <x:c r="J6" t="str"/>
    </x:row>
    <x:row r="7">
      <x:c r="A7" t="n">
        <x:v>45444</x:v>
      </x:c>
      <x:c r="B7" t="str">
        <x:v>Hoodie Classic</x:v>
      </x:c>
      <x:c r="C7" t="str">
        <x:v>Clothing</x:v>
      </x:c>
      <x:c r="D7" t="str">
        <x:v>Trunk</x:v>
      </x:c>
      <x:c r="E7" t="str">
        <x:v>Barishal</x:v>
      </x:c>
      <x:c r="F7" t="str">
        <x:v>Online</x:v>
      </x:c>
      <x:c r="G7" t="n">
        <x:v>893</x:v>
      </x:c>
      <x:c r="H7" t="n">
        <x:v>1450</x:v>
      </x:c>
      <x:c r="I7" t="n">
        <x:v>1294850</x:v>
      </x:c>
      <x:c r="J7" t="str"/>
    </x:row>
    <x:row r="8">
      <x:c r="A8" t="n">
        <x:v>45474</x:v>
      </x:c>
      <x:c r="B8" t="str">
        <x:v>Hoodie Classic</x:v>
      </x:c>
      <x:c r="C8" t="str">
        <x:v>Clothing</x:v>
      </x:c>
      <x:c r="D8" t="str">
        <x:v>Trunk</x:v>
      </x:c>
      <x:c r="E8" t="str">
        <x:v>Rangpur</x:v>
      </x:c>
      <x:c r="F8" t="str">
        <x:v>Wholesale</x:v>
      </x:c>
      <x:c r="G8" t="n">
        <x:v>1090</x:v>
      </x:c>
      <x:c r="H8" t="n">
        <x:v>1450</x:v>
      </x:c>
      <x:c r="I8" t="n">
        <x:v>1580500</x:v>
      </x:c>
      <x:c r="J8" t="str"/>
    </x:row>
    <x:row r="9">
      <x:c r="A9" t="n">
        <x:v>45505</x:v>
      </x:c>
      <x:c r="B9" t="str">
        <x:v>Hoodie Classic</x:v>
      </x:c>
      <x:c r="C9" t="str">
        <x:v>Clothing</x:v>
      </x:c>
      <x:c r="D9" t="str">
        <x:v>Trunk</x:v>
      </x:c>
      <x:c r="E9" t="str">
        <x:v>Mymensingh</x:v>
      </x:c>
      <x:c r="F9" t="str">
        <x:v>Modern Trade</x:v>
      </x:c>
      <x:c r="G9" t="n">
        <x:v>939</x:v>
      </x:c>
      <x:c r="H9" t="n">
        <x:v>1450</x:v>
      </x:c>
      <x:c r="I9" t="n">
        <x:v>1361550</x:v>
      </x:c>
      <x:c r="J9" t="str"/>
    </x:row>
    <x:row r="10">
      <x:c r="A10" t="n">
        <x:v>45536</x:v>
      </x:c>
      <x:c r="B10" t="str">
        <x:v>Hoodie Classic</x:v>
      </x:c>
      <x:c r="C10" t="str">
        <x:v>Clothing</x:v>
      </x:c>
      <x:c r="D10" t="str">
        <x:v>Trunk</x:v>
      </x:c>
      <x:c r="E10" t="str">
        <x:v>Dhaka</x:v>
      </x:c>
      <x:c r="F10" t="str">
        <x:v>Retail</x:v>
      </x:c>
      <x:c r="G10" t="n">
        <x:v>913</x:v>
      </x:c>
      <x:c r="H10" t="n">
        <x:v>1450</x:v>
      </x:c>
      <x:c r="I10" t="n">
        <x:v>1323850</x:v>
      </x:c>
      <x:c r="J10" t="str"/>
    </x:row>
    <x:row r="11">
      <x:c r="A11" t="n">
        <x:v>45566</x:v>
      </x:c>
      <x:c r="B11" t="str">
        <x:v>Hoodie Classic</x:v>
      </x:c>
      <x:c r="C11" t="str">
        <x:v>Clothing</x:v>
      </x:c>
      <x:c r="D11" t="str">
        <x:v>Trunk</x:v>
      </x:c>
      <x:c r="E11" t="str">
        <x:v>Chattogram</x:v>
      </x:c>
      <x:c r="F11" t="str">
        <x:v>Online</x:v>
      </x:c>
      <x:c r="G11" t="n">
        <x:v>1005</x:v>
      </x:c>
      <x:c r="H11" t="n">
        <x:v>1450</x:v>
      </x:c>
      <x:c r="I11" t="n">
        <x:v>1457250</x:v>
      </x:c>
      <x:c r="J11" t="str"/>
    </x:row>
    <x:row r="12">
      <x:c r="A12" t="n">
        <x:v>45597</x:v>
      </x:c>
      <x:c r="B12" t="str">
        <x:v>Hoodie Classic</x:v>
      </x:c>
      <x:c r="C12" t="str">
        <x:v>Clothing</x:v>
      </x:c>
      <x:c r="D12" t="str">
        <x:v>Trunk</x:v>
      </x:c>
      <x:c r="E12" t="str">
        <x:v>Sylhet</x:v>
      </x:c>
      <x:c r="F12" t="str">
        <x:v>Wholesale</x:v>
      </x:c>
      <x:c r="G12" t="n">
        <x:v>1474</x:v>
      </x:c>
      <x:c r="H12" t="n">
        <x:v>1450</x:v>
      </x:c>
      <x:c r="I12" t="n">
        <x:v>2137300</x:v>
      </x:c>
      <x:c r="J12" t="str">
        <x:v>Winter seasonal lift</x:v>
      </x:c>
    </x:row>
    <x:row r="13">
      <x:c r="A13" t="n">
        <x:v>45627</x:v>
      </x:c>
      <x:c r="B13" t="str">
        <x:v>Hoodie Classic</x:v>
      </x:c>
      <x:c r="C13" t="str">
        <x:v>Clothing</x:v>
      </x:c>
      <x:c r="D13" t="str">
        <x:v>Trunk</x:v>
      </x:c>
      <x:c r="E13" t="str">
        <x:v>Rajshahi</x:v>
      </x:c>
      <x:c r="F13" t="str">
        <x:v>Modern Trade</x:v>
      </x:c>
      <x:c r="G13" t="n">
        <x:v>1352</x:v>
      </x:c>
      <x:c r="H13" t="n">
        <x:v>1450</x:v>
      </x:c>
      <x:c r="I13" t="n">
        <x:v>1960400</x:v>
      </x:c>
      <x:c r="J13" t="str">
        <x:v>Winter seasonal lift</x:v>
      </x:c>
    </x:row>
    <x:row r="14">
      <x:c r="A14" t="n">
        <x:v>45658</x:v>
      </x:c>
      <x:c r="B14" t="str">
        <x:v>Hoodie Classic</x:v>
      </x:c>
      <x:c r="C14" t="str">
        <x:v>Clothing</x:v>
      </x:c>
      <x:c r="D14" t="str">
        <x:v>Trunk</x:v>
      </x:c>
      <x:c r="E14" t="str">
        <x:v>Khulna</x:v>
      </x:c>
      <x:c r="F14" t="str">
        <x:v>Retail</x:v>
      </x:c>
      <x:c r="G14" t="n">
        <x:v>1470</x:v>
      </x:c>
      <x:c r="H14" t="n">
        <x:v>1450</x:v>
      </x:c>
      <x:c r="I14" t="n">
        <x:v>2131500</x:v>
      </x:c>
      <x:c r="J14" t="str">
        <x:v>Winter seasonal lift</x:v>
      </x:c>
    </x:row>
    <x:row r="15">
      <x:c r="A15" t="n">
        <x:v>45689</x:v>
      </x:c>
      <x:c r="B15" t="str">
        <x:v>Hoodie Classic</x:v>
      </x:c>
      <x:c r="C15" t="str">
        <x:v>Clothing</x:v>
      </x:c>
      <x:c r="D15" t="str">
        <x:v>Trunk</x:v>
      </x:c>
      <x:c r="E15" t="str">
        <x:v>Barishal</x:v>
      </x:c>
      <x:c r="F15" t="str">
        <x:v>Online</x:v>
      </x:c>
      <x:c r="G15" t="n">
        <x:v>1078</x:v>
      </x:c>
      <x:c r="H15" t="n">
        <x:v>1450</x:v>
      </x:c>
      <x:c r="I15" t="n">
        <x:v>1563100</x:v>
      </x:c>
      <x:c r="J15" t="str"/>
    </x:row>
    <x:row r="16">
      <x:c r="A16" t="n">
        <x:v>45717</x:v>
      </x:c>
      <x:c r="B16" t="str">
        <x:v>Hoodie Classic</x:v>
      </x:c>
      <x:c r="C16" t="str">
        <x:v>Clothing</x:v>
      </x:c>
      <x:c r="D16" t="str">
        <x:v>Trunk</x:v>
      </x:c>
      <x:c r="E16" t="str">
        <x:v>Rangpur</x:v>
      </x:c>
      <x:c r="F16" t="str">
        <x:v>Wholesale</x:v>
      </x:c>
      <x:c r="G16" t="n">
        <x:v>1059</x:v>
      </x:c>
      <x:c r="H16" t="n">
        <x:v>1450</x:v>
      </x:c>
      <x:c r="I16" t="n">
        <x:v>1535550</x:v>
      </x:c>
      <x:c r="J16" t="str"/>
    </x:row>
    <x:row r="17">
      <x:c r="A17" t="n">
        <x:v>45748</x:v>
      </x:c>
      <x:c r="B17" t="str">
        <x:v>Hoodie Classic</x:v>
      </x:c>
      <x:c r="C17" t="str">
        <x:v>Clothing</x:v>
      </x:c>
      <x:c r="D17" t="str">
        <x:v>Trunk</x:v>
      </x:c>
      <x:c r="E17" t="str">
        <x:v>Mymensingh</x:v>
      </x:c>
      <x:c r="F17" t="str">
        <x:v>Modern Trade</x:v>
      </x:c>
      <x:c r="G17" t="n">
        <x:v>1123</x:v>
      </x:c>
      <x:c r="H17" t="n">
        <x:v>1450</x:v>
      </x:c>
      <x:c r="I17" t="n">
        <x:v>1628350</x:v>
      </x:c>
      <x:c r="J17" t="str"/>
    </x:row>
    <x:row r="18">
      <x:c r="A18" t="n">
        <x:v>45778</x:v>
      </x:c>
      <x:c r="B18" t="str">
        <x:v>Hoodie Classic</x:v>
      </x:c>
      <x:c r="C18" t="str">
        <x:v>Clothing</x:v>
      </x:c>
      <x:c r="D18" t="str">
        <x:v>Trunk</x:v>
      </x:c>
      <x:c r="E18" t="str">
        <x:v>Dhaka</x:v>
      </x:c>
      <x:c r="F18" t="str">
        <x:v>Retail</x:v>
      </x:c>
      <x:c r="G18" t="n">
        <x:v>1050</x:v>
      </x:c>
      <x:c r="H18" t="n">
        <x:v>1450</x:v>
      </x:c>
      <x:c r="I18" t="n">
        <x:v>1522500</x:v>
      </x:c>
      <x:c r="J18" t="str"/>
    </x:row>
    <x:row r="19">
      <x:c r="A19" t="n">
        <x:v>45809</x:v>
      </x:c>
      <x:c r="B19" t="str">
        <x:v>Hoodie Classic</x:v>
      </x:c>
      <x:c r="C19" t="str">
        <x:v>Clothing</x:v>
      </x:c>
      <x:c r="D19" t="str">
        <x:v>Trunk</x:v>
      </x:c>
      <x:c r="E19" t="str">
        <x:v>Chattogram</x:v>
      </x:c>
      <x:c r="F19" t="str">
        <x:v>Online</x:v>
      </x:c>
      <x:c r="G19" t="n">
        <x:v>1186</x:v>
      </x:c>
      <x:c r="H19" t="n">
        <x:v>1450</x:v>
      </x:c>
      <x:c r="I19" t="n">
        <x:v>1719700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TRU-DPF-03-01</x:v>
      </x:c>
      <x:c r="B2" t="str">
        <x:v>Hoodie Classic</x:v>
      </x:c>
      <x:c r="C2" t="str">
        <x:v>Clothing</x:v>
      </x:c>
      <x:c r="D2" t="str">
        <x:v>Trunk</x:v>
      </x:c>
      <x:c r="E2" t="str">
        <x:v>Dhaka</x:v>
      </x:c>
      <x:c r="F2" t="str">
        <x:v>Dhaka DC</x:v>
      </x:c>
      <x:c r="G2" t="n">
        <x:v>880</x:v>
      </x:c>
      <x:c r="H2" t="n">
        <x:v>695</x:v>
      </x:c>
      <x:c r="I2" t="n">
        <x:v>1427</x:v>
      </x:c>
      <x:c r="J2" t="n">
        <x:v>471</x:v>
      </x:c>
      <x:c r="K2" t="n">
        <x:v>120</x:v>
      </x:c>
      <x:c r="L2" t="n">
        <x:v>45672</x:v>
      </x:c>
      <x:c r="M2" t="str">
        <x:v>Reorder Needed</x:v>
      </x:c>
    </x:row>
    <x:row r="3">
      <x:c r="A3" t="str">
        <x:v>TRU-DPF-03-02</x:v>
      </x:c>
      <x:c r="B3" t="str">
        <x:v>Hoodie Classic</x:v>
      </x:c>
      <x:c r="C3" t="str">
        <x:v>Clothing</x:v>
      </x:c>
      <x:c r="D3" t="str">
        <x:v>Trunk</x:v>
      </x:c>
      <x:c r="E3" t="str">
        <x:v>Chattogram</x:v>
      </x:c>
      <x:c r="F3" t="str">
        <x:v>Chattogram DC</x:v>
      </x:c>
      <x:c r="G3" t="n">
        <x:v>3008</x:v>
      </x:c>
      <x:c r="H3" t="n">
        <x:v>624</x:v>
      </x:c>
      <x:c r="I3" t="n">
        <x:v>1301</x:v>
      </x:c>
      <x:c r="J3" t="n">
        <x:v>113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TRU-DPF-03-03</x:v>
      </x:c>
      <x:c r="B4" t="str">
        <x:v>Hoodie Classic</x:v>
      </x:c>
      <x:c r="C4" t="str">
        <x:v>Clothing</x:v>
      </x:c>
      <x:c r="D4" t="str">
        <x:v>Trunk</x:v>
      </x:c>
      <x:c r="E4" t="str">
        <x:v>Sylhet</x:v>
      </x:c>
      <x:c r="F4" t="str">
        <x:v>Sylhet DC</x:v>
      </x:c>
      <x:c r="G4" t="n">
        <x:v>2785</x:v>
      </x:c>
      <x:c r="H4" t="n">
        <x:v>531</x:v>
      </x:c>
      <x:c r="I4" t="n">
        <x:v>1191</x:v>
      </x:c>
      <x:c r="J4" t="n">
        <x:v>541</x:v>
      </x:c>
      <x:c r="K4" t="n">
        <x:v>120</x:v>
      </x:c>
      <x:c r="L4" t="n">
        <x:v>45674</x:v>
      </x:c>
      <x:c r="M4" t="str">
        <x:v>Overstock Risk</x:v>
      </x:c>
    </x:row>
    <x:row r="5">
      <x:c r="A5" t="str">
        <x:v>TRU-DPF-03-04</x:v>
      </x:c>
      <x:c r="B5" t="str">
        <x:v>Hoodie Classic</x:v>
      </x:c>
      <x:c r="C5" t="str">
        <x:v>Clothing</x:v>
      </x:c>
      <x:c r="D5" t="str">
        <x:v>Trunk</x:v>
      </x:c>
      <x:c r="E5" t="str">
        <x:v>Rajshahi</x:v>
      </x:c>
      <x:c r="F5" t="str">
        <x:v>Rajshahi DC</x:v>
      </x:c>
      <x:c r="G5" t="n">
        <x:v>2944</x:v>
      </x:c>
      <x:c r="H5" t="n">
        <x:v>523</x:v>
      </x:c>
      <x:c r="I5" t="n">
        <x:v>1182</x:v>
      </x:c>
      <x:c r="J5" t="n">
        <x:v>300</x:v>
      </x:c>
      <x:c r="K5" t="n">
        <x:v>120</x:v>
      </x:c>
      <x:c r="L5" t="n">
        <x:v>45675</x:v>
      </x:c>
      <x:c r="M5" t="str">
        <x:v>Overstock Risk</x:v>
      </x:c>
    </x:row>
    <x:row r="6">
      <x:c r="A6" t="str">
        <x:v>TRU-DPF-03-05</x:v>
      </x:c>
      <x:c r="B6" t="str">
        <x:v>Hoodie Classic</x:v>
      </x:c>
      <x:c r="C6" t="str">
        <x:v>Clothing</x:v>
      </x:c>
      <x:c r="D6" t="str">
        <x:v>Trunk</x:v>
      </x:c>
      <x:c r="E6" t="str">
        <x:v>Khulna</x:v>
      </x:c>
      <x:c r="F6" t="str">
        <x:v>Khulna DC</x:v>
      </x:c>
      <x:c r="G6" t="n">
        <x:v>2032</x:v>
      </x:c>
      <x:c r="H6" t="n">
        <x:v>521</x:v>
      </x:c>
      <x:c r="I6" t="n">
        <x:v>1122</x:v>
      </x:c>
      <x:c r="J6" t="n">
        <x:v>306</x:v>
      </x:c>
      <x:c r="K6" t="n">
        <x:v>120</x:v>
      </x:c>
      <x:c r="L6" t="n">
        <x:v>45676</x:v>
      </x:c>
      <x:c r="M6" t="str">
        <x:v>OK</x:v>
      </x:c>
    </x:row>
    <x:row r="7">
      <x:c r="A7" t="str">
        <x:v>TRU-DPF-03-06</x:v>
      </x:c>
      <x:c r="B7" t="str">
        <x:v>Hoodie Classic</x:v>
      </x:c>
      <x:c r="C7" t="str">
        <x:v>Clothing</x:v>
      </x:c>
      <x:c r="D7" t="str">
        <x:v>Trunk</x:v>
      </x:c>
      <x:c r="E7" t="str">
        <x:v>Barishal</x:v>
      </x:c>
      <x:c r="F7" t="str">
        <x:v>Barishal DC</x:v>
      </x:c>
      <x:c r="G7" t="n">
        <x:v>3579</x:v>
      </x:c>
      <x:c r="H7" t="n">
        <x:v>626</x:v>
      </x:c>
      <x:c r="I7" t="n">
        <x:v>1475</x:v>
      </x:c>
      <x:c r="J7" t="n">
        <x:v>414</x:v>
      </x:c>
      <x:c r="K7" t="n">
        <x:v>120</x:v>
      </x:c>
      <x:c r="L7" t="n">
        <x:v>45677</x:v>
      </x:c>
      <x:c r="M7" t="str">
        <x:v>Overstock Risk</x:v>
      </x:c>
    </x:row>
    <x:row r="8">
      <x:c r="A8" t="str">
        <x:v>TRU-DPF-03-07</x:v>
      </x:c>
      <x:c r="B8" t="str">
        <x:v>Hoodie Classic</x:v>
      </x:c>
      <x:c r="C8" t="str">
        <x:v>Clothing</x:v>
      </x:c>
      <x:c r="D8" t="str">
        <x:v>Trunk</x:v>
      </x:c>
      <x:c r="E8" t="str">
        <x:v>Rangpur</x:v>
      </x:c>
      <x:c r="F8" t="str">
        <x:v>Rangpur DC</x:v>
      </x:c>
      <x:c r="G8" t="n">
        <x:v>1740</x:v>
      </x:c>
      <x:c r="H8" t="n">
        <x:v>591</x:v>
      </x:c>
      <x:c r="I8" t="n">
        <x:v>1151</x:v>
      </x:c>
      <x:c r="J8" t="n">
        <x:v>233</x:v>
      </x:c>
      <x:c r="K8" t="n">
        <x:v>120</x:v>
      </x:c>
      <x:c r="L8" t="n">
        <x:v>45678</x:v>
      </x:c>
      <x:c r="M8" t="str">
        <x:v>OK</x:v>
      </x:c>
    </x:row>
    <x:row r="9">
      <x:c r="A9" t="str">
        <x:v>TRU-DPF-03-08</x:v>
      </x:c>
      <x:c r="B9" t="str">
        <x:v>Hoodie Classic</x:v>
      </x:c>
      <x:c r="C9" t="str">
        <x:v>Clothing</x:v>
      </x:c>
      <x:c r="D9" t="str">
        <x:v>Trunk</x:v>
      </x:c>
      <x:c r="E9" t="str">
        <x:v>Mymensingh</x:v>
      </x:c>
      <x:c r="F9" t="str">
        <x:v>Mymensingh DC</x:v>
      </x:c>
      <x:c r="G9" t="n">
        <x:v>2111</x:v>
      </x:c>
      <x:c r="H9" t="n">
        <x:v>599</x:v>
      </x:c>
      <x:c r="I9" t="n">
        <x:v>1369</x:v>
      </x:c>
      <x:c r="J9" t="n">
        <x:v>331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17.3</x:v>
      </x:c>
      <x:c r="G2" t="n">
        <x:v>13.5</x:v>
      </x:c>
      <x:c r="H2" t="n">
        <x:v>112587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34.2</x:v>
      </x:c>
      <x:c r="G3" t="n">
        <x:v>38.6</x:v>
      </x:c>
      <x:c r="H3" t="n">
        <x:v>85272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16.3</x:v>
      </x:c>
      <x:c r="G4" t="n">
        <x:v>15.6</x:v>
      </x:c>
      <x:c r="H4" t="n">
        <x:v>126965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13.4</x:v>
      </x:c>
      <x:c r="G5" t="n">
        <x:v>15.2</x:v>
      </x:c>
      <x:c r="H5" t="n">
        <x:v>137602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Clothing</x:v>
      </x:c>
      <x:c r="E2" t="n">
        <x:v>1540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Clothing</x:v>
      </x:c>
      <x:c r="E3" t="n">
        <x:v>1306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Clothing</x:v>
      </x:c>
      <x:c r="E4" t="n">
        <x:v>1293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Clothing</x:v>
      </x:c>
      <x:c r="E5" t="n">
        <x:v>1202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7.35</x:v>
      </x:c>
      <x:c r="C2" t="n">
        <x:v>99.95</x:v>
      </x:c>
      <x:c r="D2" t="n">
        <x:v>87.5</x:v>
      </x:c>
      <x:c r="E2" t="n">
        <x:v>109</x:v>
      </x:c>
      <x:c r="F2" t="str">
        <x:v>Low</x:v>
      </x:c>
      <x:c r="G2" t="str">
        <x:v>Economic conditions for demand adjustment</x:v>
      </x:c>
    </x:row>
    <x:row r="3">
      <x:c r="A3" t="n">
        <x:v>45323</x:v>
      </x:c>
      <x:c r="B3" t="n">
        <x:v>8.1</x:v>
      </x:c>
      <x:c r="C3" t="n">
        <x:v>99.45</x:v>
      </x:c>
      <x:c r="D3" t="n">
        <x:v>86.06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8.19</x:v>
      </x:c>
      <x:c r="C4" t="n">
        <x:v>100.86</x:v>
      </x:c>
      <x:c r="D4" t="n">
        <x:v>86.33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8.33</x:v>
      </x:c>
      <x:c r="C5" t="n">
        <x:v>101.29</x:v>
      </x:c>
      <x:c r="D5" t="n">
        <x:v>86.23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8.66</x:v>
      </x:c>
      <x:c r="C6" t="n">
        <x:v>100.69</x:v>
      </x:c>
      <x:c r="D6" t="n">
        <x:v>85.48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8.79</x:v>
      </x:c>
      <x:c r="C7" t="n">
        <x:v>100.51</x:v>
      </x:c>
      <x:c r="D7" t="n">
        <x:v>85.21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8.74</x:v>
      </x:c>
      <x:c r="C8" t="n">
        <x:v>102.34</x:v>
      </x:c>
      <x:c r="D8" t="n">
        <x:v>85.84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8.13</x:v>
      </x:c>
      <x:c r="C9" t="n">
        <x:v>101.95</x:v>
      </x:c>
      <x:c r="D9" t="n">
        <x:v>86.76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7.85</x:v>
      </x:c>
      <x:c r="C10" t="n">
        <x:v>103.32</x:v>
      </x:c>
      <x:c r="D10" t="n">
        <x:v>87.64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7.68</x:v>
      </x:c>
      <x:c r="C11" t="n">
        <x:v>101.8</x:v>
      </x:c>
      <x:c r="D11" t="n">
        <x:v>87.48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7.12</x:v>
      </x:c>
      <x:c r="C12" t="n">
        <x:v>103.7</x:v>
      </x:c>
      <x:c r="D12" t="n">
        <x:v>89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6.87</x:v>
      </x:c>
      <x:c r="C13" t="n">
        <x:v>103.9</x:v>
      </x:c>
      <x:c r="D13" t="n">
        <x:v>89.49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6.69</x:v>
      </x:c>
      <x:c r="C14" t="n">
        <x:v>104.58</x:v>
      </x:c>
      <x:c r="D14" t="n">
        <x:v>90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6.44</x:v>
      </x:c>
      <x:c r="C15" t="n">
        <x:v>104.8</x:v>
      </x:c>
      <x:c r="D15" t="n">
        <x:v>90.49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6.54</x:v>
      </x:c>
      <x:c r="C16" t="n">
        <x:v>104.43</x:v>
      </x:c>
      <x:c r="D16" t="n">
        <x:v>90.22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6.48</x:v>
      </x:c>
      <x:c r="C17" t="n">
        <x:v>104.51</x:v>
      </x:c>
      <x:c r="D17" t="n">
        <x:v>90.34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6.72</x:v>
      </x:c>
      <x:c r="C18" t="n">
        <x:v>104.9</x:v>
      </x:c>
      <x:c r="D18" t="n">
        <x:v>90.04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7.04</x:v>
      </x:c>
      <x:c r="C19" t="n">
        <x:v>105.59</x:v>
      </x:c>
      <x:c r="D19" t="n">
        <x:v>89.7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5</x:v>
      </x:c>
      <x:c r="E2" t="n">
        <x:v>12</x:v>
      </x:c>
      <x:c r="F2" t="n">
        <x:v>6</x:v>
      </x:c>
      <x:c r="G2" t="n">
        <x:v>2</x:v>
      </x:c>
      <x:c r="H2" t="n">
        <x:v>25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4</x:v>
      </x:c>
      <x:c r="E3" t="n">
        <x:v>12</x:v>
      </x:c>
      <x:c r="F3" t="n">
        <x:v>5</x:v>
      </x:c>
      <x:c r="G3" t="n">
        <x:v>3</x:v>
      </x:c>
      <x:c r="H3" t="n">
        <x:v>24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5</x:v>
      </x:c>
      <x:c r="E4" t="n">
        <x:v>6</x:v>
      </x:c>
      <x:c r="F4" t="n">
        <x:v>6</x:v>
      </x:c>
      <x:c r="G4" t="n">
        <x:v>2</x:v>
      </x:c>
      <x:c r="H4" t="n">
        <x:v>19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4</x:v>
      </x:c>
      <x:c r="E5" t="n">
        <x:v>10</x:v>
      </x:c>
      <x:c r="F5" t="n">
        <x:v>7</x:v>
      </x:c>
      <x:c r="G5" t="n">
        <x:v>5</x:v>
      </x:c>
      <x:c r="H5" t="n">
        <x:v>26</x:v>
      </x:c>
      <x:c r="I5" t="str">
        <x:v>Yes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825</x:v>
      </x:c>
      <x:c r="C2" t="n">
        <x:v>726</x:v>
      </x:c>
      <x:c r="D2" t="n">
        <x:f>C2-B2</x:f>
        <x:v>-99</x:v>
      </x:c>
      <x:c r="E2" t="n">
        <x:f>ABS(D2)</x:f>
        <x:v>99</x:v>
      </x:c>
      <x:c r="F2" s="22" t="n">
        <x:f>IFERROR(E2/C2,0)</x:f>
        <x:v>0.13636363636363635</x:v>
      </x:c>
      <x:c r="G2" t="str">
        <x:v>Formula columns should calculate error and accuracy</x:v>
      </x:c>
    </x:row>
    <x:row r="3">
      <x:c r="A3" t="n">
        <x:v>45505</x:v>
      </x:c>
      <x:c r="B3" t="n">
        <x:v>897</x:v>
      </x:c>
      <x:c r="C3" t="n">
        <x:v>790</x:v>
      </x:c>
      <x:c r="D3" t="n">
        <x:f>C3-B3</x:f>
        <x:v>-107</x:v>
      </x:c>
      <x:c r="E3" t="n">
        <x:f>ABS(D3)</x:f>
        <x:v>107</x:v>
      </x:c>
      <x:c r="F3" s="22" t="n">
        <x:f>IFERROR(E3/C3,0)</x:f>
        <x:v>0.13544303797468354</x:v>
      </x:c>
      <x:c r="G3" t="str">
        <x:v>Formula columns should calculate error and accuracy</x:v>
      </x:c>
    </x:row>
    <x:row r="4">
      <x:c r="A4" t="n">
        <x:v>45536</x:v>
      </x:c>
      <x:c r="B4" t="n">
        <x:v>882</x:v>
      </x:c>
      <x:c r="C4" t="n">
        <x:v>870</x:v>
      </x:c>
      <x:c r="D4" t="n">
        <x:f>C4-B4</x:f>
        <x:v>-12</x:v>
      </x:c>
      <x:c r="E4" t="n">
        <x:f>ABS(D4)</x:f>
        <x:v>12</x:v>
      </x:c>
      <x:c r="F4" s="22" t="n">
        <x:f>IFERROR(E4/C4,0)</x:f>
        <x:v>0.013793103448275862</x:v>
      </x:c>
      <x:c r="G4" t="str">
        <x:v>Formula columns should calculate error and accuracy</x:v>
      </x:c>
    </x:row>
    <x:row r="5">
      <x:c r="A5" t="n">
        <x:v>45566</x:v>
      </x:c>
      <x:c r="B5" t="n">
        <x:v>922</x:v>
      </x:c>
      <x:c r="C5" t="n">
        <x:v>928</x:v>
      </x:c>
      <x:c r="D5" t="n">
        <x:f>C5-B5</x:f>
        <x:v>6</x:v>
      </x:c>
      <x:c r="E5" t="n">
        <x:f>ABS(D5)</x:f>
        <x:v>6</x:v>
      </x:c>
      <x:c r="F5" s="22" t="n">
        <x:f>IFERROR(E5/C5,0)</x:f>
        <x:v>0.00646551724137931</x:v>
      </x:c>
      <x:c r="G5" t="str">
        <x:v>Formula columns should calculate error and accuracy</x:v>
      </x:c>
    </x:row>
    <x:row r="6">
      <x:c r="A6" t="n">
        <x:v>45597</x:v>
      </x:c>
      <x:c r="B6" t="n">
        <x:v>887</x:v>
      </x:c>
      <x:c r="C6" t="n">
        <x:v>1023</x:v>
      </x:c>
      <x:c r="D6" t="n">
        <x:f>C6-B6</x:f>
        <x:v>136</x:v>
      </x:c>
      <x:c r="E6" t="n">
        <x:f>ABS(D6)</x:f>
        <x:v>136</x:v>
      </x:c>
      <x:c r="F6" s="22" t="n">
        <x:f>IFERROR(E6/C6,0)</x:f>
        <x:v>0.13294232649071358</x:v>
      </x:c>
      <x:c r="G6" t="str">
        <x:v>Formula columns should calculate error and accuracy</x:v>
      </x:c>
    </x:row>
    <x:row r="7">
      <x:c r="A7" t="n">
        <x:v>45627</x:v>
      </x:c>
      <x:c r="B7" t="n">
        <x:v>968</x:v>
      </x:c>
      <x:c r="C7" t="n">
        <x:v>1092</x:v>
      </x:c>
      <x:c r="D7" t="n">
        <x:f>C7-B7</x:f>
        <x:v>124</x:v>
      </x:c>
      <x:c r="E7" t="n">
        <x:f>ABS(D7)</x:f>
        <x:v>124</x:v>
      </x:c>
      <x:c r="F7" s="22" t="n">
        <x:f>IFERROR(E7/C7,0)</x:f>
        <x:v>0.11355311355311355</x:v>
      </x:c>
      <x:c r="G7" t="str">
        <x:v>Formula columns should calculate error and accuracy</x:v>
      </x:c>
    </x:row>
    <x:row r="8">
      <x:c r="A8" t="n">
        <x:v>45658</x:v>
      </x:c>
      <x:c r="B8" t="n">
        <x:v>1098</x:v>
      </x:c>
      <x:c r="C8" t="n">
        <x:v>909</x:v>
      </x:c>
      <x:c r="D8" t="n">
        <x:f>C8-B8</x:f>
        <x:v>-189</x:v>
      </x:c>
      <x:c r="E8" t="n">
        <x:f>ABS(D8)</x:f>
        <x:v>189</x:v>
      </x:c>
      <x:c r="F8" s="22" t="n">
        <x:f>IFERROR(E8/C8,0)</x:f>
        <x:v>0.2079207920792079</x:v>
      </x:c>
      <x:c r="G8" t="str">
        <x:v>Formula columns should calculate error and accuracy</x:v>
      </x:c>
    </x:row>
    <x:row r="9">
      <x:c r="A9" t="n">
        <x:v>45689</x:v>
      </x:c>
      <x:c r="B9" t="n">
        <x:v>1104</x:v>
      </x:c>
      <x:c r="C9" t="n">
        <x:v>1160</x:v>
      </x:c>
      <x:c r="D9" t="n">
        <x:f>C9-B9</x:f>
        <x:v>56</x:v>
      </x:c>
      <x:c r="E9" t="n">
        <x:f>ABS(D9)</x:f>
        <x:v>56</x:v>
      </x:c>
      <x:c r="F9" s="22" t="n">
        <x:f>IFERROR(E9/C9,0)</x:f>
        <x:v>0.04827586206896552</x:v>
      </x:c>
      <x:c r="G9" t="str">
        <x:v>Formula columns should calculate error and accuracy</x:v>
      </x:c>
    </x:row>
    <x:row r="10">
      <x:c r="A10" t="n">
        <x:v>45717</x:v>
      </x:c>
      <x:c r="B10" t="n">
        <x:v>1039</x:v>
      </x:c>
      <x:c r="C10" t="n">
        <x:v>1244</x:v>
      </x:c>
      <x:c r="D10" t="n">
        <x:f>C10-B10</x:f>
        <x:v>205</x:v>
      </x:c>
      <x:c r="E10" t="n">
        <x:f>ABS(D10)</x:f>
        <x:v>205</x:v>
      </x:c>
      <x:c r="F10" s="22" t="n">
        <x:f>IFERROR(E10/C10,0)</x:f>
        <x:v>0.1647909967845659</x:v>
      </x:c>
      <x:c r="G10" t="str">
        <x:v>Formula columns should calculate error and accuracy</x:v>
      </x:c>
    </x:row>
    <x:row r="11">
      <x:c r="A11" t="n">
        <x:v>45748</x:v>
      </x:c>
      <x:c r="B11" t="n">
        <x:v>1019</x:v>
      </x:c>
      <x:c r="C11" t="n">
        <x:v>995</x:v>
      </x:c>
      <x:c r="D11" t="n">
        <x:f>C11-B11</x:f>
        <x:v>-24</x:v>
      </x:c>
      <x:c r="E11" t="n">
        <x:f>ABS(D11)</x:f>
        <x:v>24</x:v>
      </x:c>
      <x:c r="F11" s="22" t="n">
        <x:f>IFERROR(E11/C11,0)</x:f>
        <x:v>0.024120603015075376</x:v>
      </x:c>
      <x:c r="G11" t="str">
        <x:v>Formula columns should calculate error and accuracy</x:v>
      </x:c>
    </x:row>
    <x:row r="12">
      <x:c r="A12" t="n">
        <x:v>45778</x:v>
      </x:c>
      <x:c r="B12" t="n">
        <x:v>1165</x:v>
      </x:c>
      <x:c r="C12" t="n">
        <x:v>1345</x:v>
      </x:c>
      <x:c r="D12" t="n">
        <x:f>C12-B12</x:f>
        <x:v>180</x:v>
      </x:c>
      <x:c r="E12" t="n">
        <x:f>ABS(D12)</x:f>
        <x:v>180</x:v>
      </x:c>
      <x:c r="F12" s="22" t="n">
        <x:f>IFERROR(E12/C12,0)</x:f>
        <x:v>0.13382899628252787</x:v>
      </x:c>
      <x:c r="G12" t="str">
        <x:v>Formula columns should calculate error and accuracy</x:v>
      </x:c>
    </x:row>
    <x:row r="13">
      <x:c r="A13" t="n">
        <x:v>45809</x:v>
      </x:c>
      <x:c r="B13" t="n">
        <x:v>1106</x:v>
      </x:c>
      <x:c r="C13" t="n">
        <x:v>1232</x:v>
      </x:c>
      <x:c r="D13" t="n">
        <x:f>C13-B13</x:f>
        <x:v>126</x:v>
      </x:c>
      <x:c r="E13" t="n">
        <x:f>ABS(D13)</x:f>
        <x:v>126</x:v>
      </x:c>
      <x:c r="F13" s="22" t="n">
        <x:f>IFERROR(E13/C13,0)</x:f>
        <x:v>0.10227272727272728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91</x:v>
      </x:c>
      <x:c r="E2" t="n">
        <x:v>982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76</x:v>
      </x:c>
      <x:c r="E3" t="n">
        <x:v>588</x:v>
      </x:c>
      <x:c r="F3" t="str">
        <x:v>Medium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72</x:v>
      </x:c>
      <x:c r="E4" t="n">
        <x:v>643</x:v>
      </x:c>
      <x:c r="F4" t="str">
        <x:v>Medium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69</x:v>
      </x:c>
      <x:c r="E5" t="n">
        <x:v>570</x:v>
      </x:c>
      <x:c r="F5" t="str">
        <x:v>Medium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88</x:v>
      </x:c>
      <x:c r="E6" t="n">
        <x:v>910</x:v>
      </x:c>
      <x:c r="F6" t="str">
        <x:v>High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91</x:v>
      </x:c>
      <x:c r="E7" t="n">
        <x:v>682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74</x:v>
      </x:c>
      <x:c r="E8" t="n">
        <x:v>806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84</x:v>
      </x:c>
      <x:c r="E9" t="n">
        <x:v>769</x:v>
      </x:c>
      <x:c r="F9" t="str">
        <x:v>High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Festival-based</x:v>
      </x:c>
      <x:c r="E2" t="n">
        <x:v>1</x:v>
      </x:c>
      <x:c r="F2" t="n">
        <x:v>1233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Festival-based</x:v>
      </x:c>
      <x:c r="E3" t="n">
        <x:v>3</x:v>
      </x:c>
      <x:c r="F3" t="n">
        <x:v>5742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Bi-weekly</x:v>
      </x:c>
      <x:c r="E4" t="n">
        <x:v>1</x:v>
      </x:c>
      <x:c r="F4" t="n">
        <x:v>1386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Monthly</x:v>
      </x:c>
      <x:c r="E5" t="n">
        <x:v>4</x:v>
      </x:c>
      <x:c r="F5" t="n">
        <x:v>6222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Monthly</x:v>
      </x:c>
      <x:c r="E6" t="n">
        <x:v>7</x:v>
      </x:c>
      <x:c r="F6" t="n">
        <x:v>9815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293</x:v>
      </x:c>
      <x:c r="F2" t="n">
        <x:v>88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84</x:v>
      </x:c>
      <x:c r="F3" t="n">
        <x:v>96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20</x:v>
      </x:c>
      <x:c r="F4" t="n">
        <x:v>85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5</x:v>
      </x:c>
      <x:c r="F5" t="n">
        <x:v>83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Hoodie Classic Trunk Clothing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Hoodie Classic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Clothing competitor pricing promotions Bangladesh Trunk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Hoodie Classic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77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61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90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71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