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83309b975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f3f4eeab24d840de"/>
    <x:sheet xmlns:r="http://schemas.openxmlformats.org/officeDocument/2006/relationships" name="Historical_Sales" sheetId="2" r:id="R91df8ca35e3048f1"/>
    <x:sheet xmlns:r="http://schemas.openxmlformats.org/officeDocument/2006/relationships" name="Inventory" sheetId="3" r:id="Rcac1a7ca9b564eab"/>
    <x:sheet xmlns:r="http://schemas.openxmlformats.org/officeDocument/2006/relationships" name="Promotions" sheetId="4" r:id="R3e9aee80231f45eb"/>
    <x:sheet xmlns:r="http://schemas.openxmlformats.org/officeDocument/2006/relationships" name="Competitors" sheetId="5" r:id="R73cc197bd5f6488e"/>
    <x:sheet xmlns:r="http://schemas.openxmlformats.org/officeDocument/2006/relationships" name="Economic" sheetId="6" r:id="R823f5b6b909d4cbe"/>
    <x:sheet xmlns:r="http://schemas.openxmlformats.org/officeDocument/2006/relationships" name="Lead_Time" sheetId="7" r:id="R676e9e0bfbbd40ab"/>
    <x:sheet xmlns:r="http://schemas.openxmlformats.org/officeDocument/2006/relationships" name="Forecast_Actual" sheetId="8" r:id="Rf9db1f336d4b4b03"/>
    <x:sheet xmlns:r="http://schemas.openxmlformats.org/officeDocument/2006/relationships" name="Regional_Demand_Map" sheetId="9" r:id="Ra997d20e0f274bfe"/>
    <x:sheet xmlns:r="http://schemas.openxmlformats.org/officeDocument/2006/relationships" name="SCM_Flow_Map" sheetId="10" r:id="R0adce375a31c4d07"/>
    <x:sheet xmlns:r="http://schemas.openxmlformats.org/officeDocument/2006/relationships" name="Customer_Patterns" sheetId="11" r:id="R7c62d126c0354dfa"/>
    <x:sheet xmlns:r="http://schemas.openxmlformats.org/officeDocument/2006/relationships" name="Technology_Data" sheetId="12" r:id="R6cdffb960eef47af"/>
    <x:sheet xmlns:r="http://schemas.openxmlformats.org/officeDocument/2006/relationships" name="Web_Search_Seeds" sheetId="13" r:id="Rdee774013fa249db"/>
    <x:sheet xmlns:r="http://schemas.openxmlformats.org/officeDocument/2006/relationships" name="Manual_Expert_Opinion" sheetId="14" r:id="R616f8a9b40aa4394"/>
    <x:sheet xmlns:r="http://schemas.openxmlformats.org/officeDocument/2006/relationships" name="Data_Issues" sheetId="15" r:id="R836683937dbc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77fad93644feb" /><Relationship Type="http://schemas.openxmlformats.org/officeDocument/2006/relationships/theme" Target="/xl/theme/theme1.xml" Id="Rb7a58fe990074155" /><Relationship Type="http://schemas.openxmlformats.org/officeDocument/2006/relationships/sharedStrings" Target="/xl/sharedStrings.xml" Id="R0f490541770e418a" /><Relationship Type="http://schemas.openxmlformats.org/officeDocument/2006/relationships/worksheet" Target="/xl/worksheets/sheet1.xml" Id="Rf3f4eeab24d840de" /><Relationship Type="http://schemas.openxmlformats.org/officeDocument/2006/relationships/worksheet" Target="/xl/worksheets/sheet2.xml" Id="R91df8ca35e3048f1" /><Relationship Type="http://schemas.openxmlformats.org/officeDocument/2006/relationships/worksheet" Target="/xl/worksheets/sheet3.xml" Id="Rcac1a7ca9b564eab" /><Relationship Type="http://schemas.openxmlformats.org/officeDocument/2006/relationships/worksheet" Target="/xl/worksheets/sheet4.xml" Id="R3e9aee80231f45eb" /><Relationship Type="http://schemas.openxmlformats.org/officeDocument/2006/relationships/worksheet" Target="/xl/worksheets/sheet5.xml" Id="R73cc197bd5f6488e" /><Relationship Type="http://schemas.openxmlformats.org/officeDocument/2006/relationships/worksheet" Target="/xl/worksheets/sheet6.xml" Id="R823f5b6b909d4cbe" /><Relationship Type="http://schemas.openxmlformats.org/officeDocument/2006/relationships/worksheet" Target="/xl/worksheets/sheet7.xml" Id="R676e9e0bfbbd40ab" /><Relationship Type="http://schemas.openxmlformats.org/officeDocument/2006/relationships/worksheet" Target="/xl/worksheets/sheet8.xml" Id="Rf9db1f336d4b4b03" /><Relationship Type="http://schemas.openxmlformats.org/officeDocument/2006/relationships/worksheet" Target="/xl/worksheets/sheet9.xml" Id="Ra997d20e0f274bfe" /><Relationship Type="http://schemas.openxmlformats.org/officeDocument/2006/relationships/worksheet" Target="/xl/worksheets/sheet10.xml" Id="R0adce375a31c4d07" /><Relationship Type="http://schemas.openxmlformats.org/officeDocument/2006/relationships/worksheet" Target="/xl/worksheets/sheet11.xml" Id="R7c62d126c0354dfa" /><Relationship Type="http://schemas.openxmlformats.org/officeDocument/2006/relationships/worksheet" Target="/xl/worksheets/sheet12.xml" Id="R6cdffb960eef47af" /><Relationship Type="http://schemas.openxmlformats.org/officeDocument/2006/relationships/worksheet" Target="/xl/worksheets/sheet13.xml" Id="Rdee774013fa249db" /><Relationship Type="http://schemas.openxmlformats.org/officeDocument/2006/relationships/worksheet" Target="/xl/worksheets/sheet14.xml" Id="R616f8a9b40aa4394" /><Relationship Type="http://schemas.openxmlformats.org/officeDocument/2006/relationships/worksheet" Target="/xl/worksheets/sheet15.xml" Id="R836683937dbc4f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DPF-13</x:v>
      </x:c>
    </x:row>
    <x:row r="3">
      <x:c r="A3" t="str">
        <x:v>Scenario Title</x:v>
      </x:c>
      <x:c r="B3" t="str">
        <x:v>Long Import Lead Time</x:v>
      </x:c>
    </x:row>
    <x:row r="4">
      <x:c r="A4" t="str">
        <x:v>Purpose</x:v>
      </x:c>
      <x:c r="B4" t="str">
        <x:v>Test lead-time-based reorder planning.</x:v>
      </x:c>
    </x:row>
    <x:row r="5">
      <x:c r="A5" t="str">
        <x:v>Product Name</x:v>
      </x:c>
      <x:c r="B5" t="str">
        <x:v>Smart Watch</x:v>
      </x:c>
    </x:row>
    <x:row r="6">
      <x:c r="A6" t="str">
        <x:v>Category</x:v>
      </x:c>
      <x:c r="B6" t="str">
        <x:v>Electronics</x:v>
      </x:c>
    </x:row>
    <x:row r="7">
      <x:c r="A7" t="str">
        <x:v>Brand</x:v>
      </x:c>
      <x:c r="B7" t="str">
        <x:v>Xiaomi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Lead Time, Inventory, Forecasting Methods</x:v>
      </x:c>
    </x:row>
    <x:row r="11">
      <x:c r="A11" t="str">
        <x:v>Recommended Inputs To Tick</x:v>
      </x:c>
      <x:c r="B11" t="str">
        <x:v>Lead Time, Inventory Levels, Historical Sales Data</x:v>
      </x:c>
    </x:row>
    <x:row r="12">
      <x:c r="A12" t="str">
        <x:v>Recommended Outputs To Tick</x:v>
      </x:c>
      <x:c r="B12" t="str">
        <x:v>Lead Time Analysis, Inventory Requirement, Stockout Risk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Smart Watch</x:v>
      </x:c>
      <x:c r="C2" t="str">
        <x:v>Electronics</x:v>
      </x:c>
      <x:c r="D2" t="str">
        <x:v>Xiaomi</x:v>
      </x:c>
      <x:c r="E2" t="str">
        <x:v>Dhaka</x:v>
      </x:c>
      <x:c r="F2" t="str">
        <x:v>Retail</x:v>
      </x:c>
      <x:c r="G2" t="n">
        <x:v>482</x:v>
      </x:c>
      <x:c r="H2" t="n">
        <x:v>6500</x:v>
      </x:c>
      <x:c r="I2" t="n">
        <x:v>3133000</x:v>
      </x:c>
      <x:c r="J2" t="str"/>
    </x:row>
    <x:row r="3">
      <x:c r="A3" t="n">
        <x:v>45323</x:v>
      </x:c>
      <x:c r="B3" t="str">
        <x:v>Smart Watch</x:v>
      </x:c>
      <x:c r="C3" t="str">
        <x:v>Electronics</x:v>
      </x:c>
      <x:c r="D3" t="str">
        <x:v>Xiaomi</x:v>
      </x:c>
      <x:c r="E3" t="str">
        <x:v>Chattogram</x:v>
      </x:c>
      <x:c r="F3" t="str">
        <x:v>Online</x:v>
      </x:c>
      <x:c r="G3" t="n">
        <x:v>420</x:v>
      </x:c>
      <x:c r="H3" t="n">
        <x:v>6500</x:v>
      </x:c>
      <x:c r="I3" t="n">
        <x:v>2730000</x:v>
      </x:c>
      <x:c r="J3" t="str"/>
    </x:row>
    <x:row r="4">
      <x:c r="A4" t="n">
        <x:v>45352</x:v>
      </x:c>
      <x:c r="B4" t="str">
        <x:v>Smart Watch</x:v>
      </x:c>
      <x:c r="C4" t="str">
        <x:v>Electronics</x:v>
      </x:c>
      <x:c r="D4" t="str">
        <x:v>Xiaomi</x:v>
      </x:c>
      <x:c r="E4" t="str">
        <x:v>Sylhet</x:v>
      </x:c>
      <x:c r="F4" t="str">
        <x:v>Wholesale</x:v>
      </x:c>
      <x:c r="G4" t="n">
        <x:v>488</x:v>
      </x:c>
      <x:c r="H4" t="n">
        <x:v>6500</x:v>
      </x:c>
      <x:c r="I4" t="n">
        <x:v>3172000</x:v>
      </x:c>
      <x:c r="J4" t="str"/>
    </x:row>
    <x:row r="5">
      <x:c r="A5" t="n">
        <x:v>45383</x:v>
      </x:c>
      <x:c r="B5" t="str">
        <x:v>Smart Watch</x:v>
      </x:c>
      <x:c r="C5" t="str">
        <x:v>Electronics</x:v>
      </x:c>
      <x:c r="D5" t="str">
        <x:v>Xiaomi</x:v>
      </x:c>
      <x:c r="E5" t="str">
        <x:v>Rajshahi</x:v>
      </x:c>
      <x:c r="F5" t="str">
        <x:v>Modern Trade</x:v>
      </x:c>
      <x:c r="G5" t="n">
        <x:v>469</x:v>
      </x:c>
      <x:c r="H5" t="n">
        <x:v>6500</x:v>
      </x:c>
      <x:c r="I5" t="n">
        <x:v>3048500</x:v>
      </x:c>
      <x:c r="J5" t="str"/>
    </x:row>
    <x:row r="6">
      <x:c r="A6" t="n">
        <x:v>45413</x:v>
      </x:c>
      <x:c r="B6" t="str">
        <x:v>Smart Watch</x:v>
      </x:c>
      <x:c r="C6" t="str">
        <x:v>Electronics</x:v>
      </x:c>
      <x:c r="D6" t="str">
        <x:v>Xiaomi</x:v>
      </x:c>
      <x:c r="E6" t="str">
        <x:v>Khulna</x:v>
      </x:c>
      <x:c r="F6" t="str">
        <x:v>Retail</x:v>
      </x:c>
      <x:c r="G6" t="n">
        <x:v>525</x:v>
      </x:c>
      <x:c r="H6" t="n">
        <x:v>6500</x:v>
      </x:c>
      <x:c r="I6" t="n">
        <x:v>3412500</x:v>
      </x:c>
      <x:c r="J6" t="str"/>
    </x:row>
    <x:row r="7">
      <x:c r="A7" t="n">
        <x:v>45444</x:v>
      </x:c>
      <x:c r="B7" t="str">
        <x:v>Smart Watch</x:v>
      </x:c>
      <x:c r="C7" t="str">
        <x:v>Electronics</x:v>
      </x:c>
      <x:c r="D7" t="str">
        <x:v>Xiaomi</x:v>
      </x:c>
      <x:c r="E7" t="str">
        <x:v>Barishal</x:v>
      </x:c>
      <x:c r="F7" t="str">
        <x:v>Online</x:v>
      </x:c>
      <x:c r="G7" t="n">
        <x:v>489</x:v>
      </x:c>
      <x:c r="H7" t="n">
        <x:v>6500</x:v>
      </x:c>
      <x:c r="I7" t="n">
        <x:v>3178500</x:v>
      </x:c>
      <x:c r="J7" t="str"/>
    </x:row>
    <x:row r="8">
      <x:c r="A8" t="n">
        <x:v>45474</x:v>
      </x:c>
      <x:c r="B8" t="str">
        <x:v>Smart Watch</x:v>
      </x:c>
      <x:c r="C8" t="str">
        <x:v>Electronics</x:v>
      </x:c>
      <x:c r="D8" t="str">
        <x:v>Xiaomi</x:v>
      </x:c>
      <x:c r="E8" t="str">
        <x:v>Rangpur</x:v>
      </x:c>
      <x:c r="F8" t="str">
        <x:v>Wholesale</x:v>
      </x:c>
      <x:c r="G8" t="n">
        <x:v>507</x:v>
      </x:c>
      <x:c r="H8" t="n">
        <x:v>6500</x:v>
      </x:c>
      <x:c r="I8" t="n">
        <x:v>3295500</x:v>
      </x:c>
      <x:c r="J8" t="str"/>
    </x:row>
    <x:row r="9">
      <x:c r="A9" t="n">
        <x:v>45505</x:v>
      </x:c>
      <x:c r="B9" t="str">
        <x:v>Smart Watch</x:v>
      </x:c>
      <x:c r="C9" t="str">
        <x:v>Electronics</x:v>
      </x:c>
      <x:c r="D9" t="str">
        <x:v>Xiaomi</x:v>
      </x:c>
      <x:c r="E9" t="str">
        <x:v>Mymensingh</x:v>
      </x:c>
      <x:c r="F9" t="str">
        <x:v>Modern Trade</x:v>
      </x:c>
      <x:c r="G9" t="n">
        <x:v>445</x:v>
      </x:c>
      <x:c r="H9" t="n">
        <x:v>6500</x:v>
      </x:c>
      <x:c r="I9" t="n">
        <x:v>2892500</x:v>
      </x:c>
      <x:c r="J9" t="str"/>
    </x:row>
    <x:row r="10">
      <x:c r="A10" t="n">
        <x:v>45536</x:v>
      </x:c>
      <x:c r="B10" t="str">
        <x:v>Smart Watch</x:v>
      </x:c>
      <x:c r="C10" t="str">
        <x:v>Electronics</x:v>
      </x:c>
      <x:c r="D10" t="str">
        <x:v>Xiaomi</x:v>
      </x:c>
      <x:c r="E10" t="str">
        <x:v>Dhaka</x:v>
      </x:c>
      <x:c r="F10" t="str">
        <x:v>Retail</x:v>
      </x:c>
      <x:c r="G10" t="n">
        <x:v>448</x:v>
      </x:c>
      <x:c r="H10" t="n">
        <x:v>6500</x:v>
      </x:c>
      <x:c r="I10" t="n">
        <x:v>2912000</x:v>
      </x:c>
      <x:c r="J10" t="str"/>
    </x:row>
    <x:row r="11">
      <x:c r="A11" t="n">
        <x:v>45566</x:v>
      </x:c>
      <x:c r="B11" t="str">
        <x:v>Smart Watch</x:v>
      </x:c>
      <x:c r="C11" t="str">
        <x:v>Electronics</x:v>
      </x:c>
      <x:c r="D11" t="str">
        <x:v>Xiaomi</x:v>
      </x:c>
      <x:c r="E11" t="str">
        <x:v>Chattogram</x:v>
      </x:c>
      <x:c r="F11" t="str">
        <x:v>Online</x:v>
      </x:c>
      <x:c r="G11" t="n">
        <x:v>553</x:v>
      </x:c>
      <x:c r="H11" t="n">
        <x:v>6500</x:v>
      </x:c>
      <x:c r="I11" t="n">
        <x:v>3594500</x:v>
      </x:c>
      <x:c r="J11" t="str"/>
    </x:row>
    <x:row r="12">
      <x:c r="A12" t="n">
        <x:v>45597</x:v>
      </x:c>
      <x:c r="B12" t="str">
        <x:v>Smart Watch</x:v>
      </x:c>
      <x:c r="C12" t="str">
        <x:v>Electronics</x:v>
      </x:c>
      <x:c r="D12" t="str">
        <x:v>Xiaomi</x:v>
      </x:c>
      <x:c r="E12" t="str">
        <x:v>Sylhet</x:v>
      </x:c>
      <x:c r="F12" t="str">
        <x:v>Wholesale</x:v>
      </x:c>
      <x:c r="G12" t="n">
        <x:v>573</x:v>
      </x:c>
      <x:c r="H12" t="n">
        <x:v>6500</x:v>
      </x:c>
      <x:c r="I12" t="n">
        <x:v>3724500</x:v>
      </x:c>
      <x:c r="J12" t="str"/>
    </x:row>
    <x:row r="13">
      <x:c r="A13" t="n">
        <x:v>45627</x:v>
      </x:c>
      <x:c r="B13" t="str">
        <x:v>Smart Watch</x:v>
      </x:c>
      <x:c r="C13" t="str">
        <x:v>Electronics</x:v>
      </x:c>
      <x:c r="D13" t="str">
        <x:v>Xiaomi</x:v>
      </x:c>
      <x:c r="E13" t="str">
        <x:v>Rajshahi</x:v>
      </x:c>
      <x:c r="F13" t="str">
        <x:v>Modern Trade</x:v>
      </x:c>
      <x:c r="G13" t="n">
        <x:v>545</x:v>
      </x:c>
      <x:c r="H13" t="n">
        <x:v>6500</x:v>
      </x:c>
      <x:c r="I13" t="n">
        <x:v>3542500</x:v>
      </x:c>
      <x:c r="J13" t="str"/>
    </x:row>
    <x:row r="14">
      <x:c r="A14" t="n">
        <x:v>45658</x:v>
      </x:c>
      <x:c r="B14" t="str">
        <x:v>Smart Watch</x:v>
      </x:c>
      <x:c r="C14" t="str">
        <x:v>Electronics</x:v>
      </x:c>
      <x:c r="D14" t="str">
        <x:v>Xiaomi</x:v>
      </x:c>
      <x:c r="E14" t="str">
        <x:v>Khulna</x:v>
      </x:c>
      <x:c r="F14" t="str">
        <x:v>Retail</x:v>
      </x:c>
      <x:c r="G14" t="n">
        <x:v>565</x:v>
      </x:c>
      <x:c r="H14" t="n">
        <x:v>6500</x:v>
      </x:c>
      <x:c r="I14" t="n">
        <x:v>3672500</x:v>
      </x:c>
      <x:c r="J14" t="str"/>
    </x:row>
    <x:row r="15">
      <x:c r="A15" t="n">
        <x:v>45689</x:v>
      </x:c>
      <x:c r="B15" t="str">
        <x:v>Smart Watch</x:v>
      </x:c>
      <x:c r="C15" t="str">
        <x:v>Electronics</x:v>
      </x:c>
      <x:c r="D15" t="str">
        <x:v>Xiaomi</x:v>
      </x:c>
      <x:c r="E15" t="str">
        <x:v>Barishal</x:v>
      </x:c>
      <x:c r="F15" t="str">
        <x:v>Online</x:v>
      </x:c>
      <x:c r="G15" t="n">
        <x:v>526</x:v>
      </x:c>
      <x:c r="H15" t="n">
        <x:v>6500</x:v>
      </x:c>
      <x:c r="I15" t="n">
        <x:v>3419000</x:v>
      </x:c>
      <x:c r="J15" t="str"/>
    </x:row>
    <x:row r="16">
      <x:c r="A16" t="n">
        <x:v>45717</x:v>
      </x:c>
      <x:c r="B16" t="str">
        <x:v>Smart Watch</x:v>
      </x:c>
      <x:c r="C16" t="str">
        <x:v>Electronics</x:v>
      </x:c>
      <x:c r="D16" t="str">
        <x:v>Xiaomi</x:v>
      </x:c>
      <x:c r="E16" t="str">
        <x:v>Rangpur</x:v>
      </x:c>
      <x:c r="F16" t="str">
        <x:v>Wholesale</x:v>
      </x:c>
      <x:c r="G16" t="n">
        <x:v>589</x:v>
      </x:c>
      <x:c r="H16" t="n">
        <x:v>6500</x:v>
      </x:c>
      <x:c r="I16" t="n">
        <x:v>3828500</x:v>
      </x:c>
      <x:c r="J16" t="str"/>
    </x:row>
    <x:row r="17">
      <x:c r="A17" t="n">
        <x:v>45748</x:v>
      </x:c>
      <x:c r="B17" t="str">
        <x:v>Smart Watch</x:v>
      </x:c>
      <x:c r="C17" t="str">
        <x:v>Electronics</x:v>
      </x:c>
      <x:c r="D17" t="str">
        <x:v>Xiaomi</x:v>
      </x:c>
      <x:c r="E17" t="str">
        <x:v>Mymensingh</x:v>
      </x:c>
      <x:c r="F17" t="str">
        <x:v>Modern Trade</x:v>
      </x:c>
      <x:c r="G17" t="n">
        <x:v>516</x:v>
      </x:c>
      <x:c r="H17" t="n">
        <x:v>6500</x:v>
      </x:c>
      <x:c r="I17" t="n">
        <x:v>3354000</x:v>
      </x:c>
      <x:c r="J17" t="str"/>
    </x:row>
    <x:row r="18">
      <x:c r="A18" t="n">
        <x:v>45778</x:v>
      </x:c>
      <x:c r="B18" t="str">
        <x:v>Smart Watch</x:v>
      </x:c>
      <x:c r="C18" t="str">
        <x:v>Electronics</x:v>
      </x:c>
      <x:c r="D18" t="str">
        <x:v>Xiaomi</x:v>
      </x:c>
      <x:c r="E18" t="str">
        <x:v>Dhaka</x:v>
      </x:c>
      <x:c r="F18" t="str">
        <x:v>Retail</x:v>
      </x:c>
      <x:c r="G18" t="n">
        <x:v>586</x:v>
      </x:c>
      <x:c r="H18" t="n">
        <x:v>6500</x:v>
      </x:c>
      <x:c r="I18" t="n">
        <x:v>3809000</x:v>
      </x:c>
      <x:c r="J18" t="str"/>
    </x:row>
    <x:row r="19">
      <x:c r="A19" t="n">
        <x:v>45809</x:v>
      </x:c>
      <x:c r="B19" t="str">
        <x:v>Smart Watch</x:v>
      </x:c>
      <x:c r="C19" t="str">
        <x:v>Electronics</x:v>
      </x:c>
      <x:c r="D19" t="str">
        <x:v>Xiaomi</x:v>
      </x:c>
      <x:c r="E19" t="str">
        <x:v>Chattogram</x:v>
      </x:c>
      <x:c r="F19" t="str">
        <x:v>Online</x:v>
      </x:c>
      <x:c r="G19" t="n">
        <x:v>498</x:v>
      </x:c>
      <x:c r="H19" t="n">
        <x:v>6500</x:v>
      </x:c>
      <x:c r="I19" t="n">
        <x:v>3237000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XIA-DPF-13-01</x:v>
      </x:c>
      <x:c r="B2" t="str">
        <x:v>Smart Watch</x:v>
      </x:c>
      <x:c r="C2" t="str">
        <x:v>Electronics</x:v>
      </x:c>
      <x:c r="D2" t="str">
        <x:v>Xiaomi</x:v>
      </x:c>
      <x:c r="E2" t="str">
        <x:v>Dhaka</x:v>
      </x:c>
      <x:c r="F2" t="str">
        <x:v>Dhaka DC</x:v>
      </x:c>
      <x:c r="G2" t="n">
        <x:v>2329</x:v>
      </x:c>
      <x:c r="H2" t="n">
        <x:v>543</x:v>
      </x:c>
      <x:c r="I2" t="n">
        <x:v>1301</x:v>
      </x:c>
      <x:c r="J2" t="n">
        <x:v>442</x:v>
      </x:c>
      <x:c r="K2" t="n">
        <x:v>120</x:v>
      </x:c>
      <x:c r="L2" t="n">
        <x:v>45672</x:v>
      </x:c>
      <x:c r="M2" t="str">
        <x:v>OK</x:v>
      </x:c>
    </x:row>
    <x:row r="3">
      <x:c r="A3" t="str">
        <x:v>XIA-DPF-13-02</x:v>
      </x:c>
      <x:c r="B3" t="str">
        <x:v>Smart Watch</x:v>
      </x:c>
      <x:c r="C3" t="str">
        <x:v>Electronics</x:v>
      </x:c>
      <x:c r="D3" t="str">
        <x:v>Xiaomi</x:v>
      </x:c>
      <x:c r="E3" t="str">
        <x:v>Chattogram</x:v>
      </x:c>
      <x:c r="F3" t="str">
        <x:v>Chattogram DC</x:v>
      </x:c>
      <x:c r="G3" t="n">
        <x:v>2647</x:v>
      </x:c>
      <x:c r="H3" t="n">
        <x:v>573</x:v>
      </x:c>
      <x:c r="I3" t="n">
        <x:v>1289</x:v>
      </x:c>
      <x:c r="J3" t="n">
        <x:v>79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XIA-DPF-13-03</x:v>
      </x:c>
      <x:c r="B4" t="str">
        <x:v>Smart Watch</x:v>
      </x:c>
      <x:c r="C4" t="str">
        <x:v>Electronics</x:v>
      </x:c>
      <x:c r="D4" t="str">
        <x:v>Xiaomi</x:v>
      </x:c>
      <x:c r="E4" t="str">
        <x:v>Sylhet</x:v>
      </x:c>
      <x:c r="F4" t="str">
        <x:v>Sylhet DC</x:v>
      </x:c>
      <x:c r="G4" t="n">
        <x:v>2461</x:v>
      </x:c>
      <x:c r="H4" t="n">
        <x:v>443</x:v>
      </x:c>
      <x:c r="I4" t="n">
        <x:v>1172</x:v>
      </x:c>
      <x:c r="J4" t="n">
        <x:v>226</x:v>
      </x:c>
      <x:c r="K4" t="n">
        <x:v>120</x:v>
      </x:c>
      <x:c r="L4" t="n">
        <x:v>45674</x:v>
      </x:c>
      <x:c r="M4" t="str">
        <x:v>Overstock Risk</x:v>
      </x:c>
    </x:row>
    <x:row r="5">
      <x:c r="A5" t="str">
        <x:v>XIA-DPF-13-04</x:v>
      </x:c>
      <x:c r="B5" t="str">
        <x:v>Smart Watch</x:v>
      </x:c>
      <x:c r="C5" t="str">
        <x:v>Electronics</x:v>
      </x:c>
      <x:c r="D5" t="str">
        <x:v>Xiaomi</x:v>
      </x:c>
      <x:c r="E5" t="str">
        <x:v>Rajshahi</x:v>
      </x:c>
      <x:c r="F5" t="str">
        <x:v>Rajshahi DC</x:v>
      </x:c>
      <x:c r="G5" t="n">
        <x:v>3685</x:v>
      </x:c>
      <x:c r="H5" t="n">
        <x:v>445</x:v>
      </x:c>
      <x:c r="I5" t="n">
        <x:v>1265</x:v>
      </x:c>
      <x:c r="J5" t="n">
        <x:v>446</x:v>
      </x:c>
      <x:c r="K5" t="n">
        <x:v>120</x:v>
      </x:c>
      <x:c r="L5" t="n">
        <x:v>45675</x:v>
      </x:c>
      <x:c r="M5" t="str">
        <x:v>Overstock Risk</x:v>
      </x:c>
    </x:row>
    <x:row r="6">
      <x:c r="A6" t="str">
        <x:v>XIA-DPF-13-05</x:v>
      </x:c>
      <x:c r="B6" t="str">
        <x:v>Smart Watch</x:v>
      </x:c>
      <x:c r="C6" t="str">
        <x:v>Electronics</x:v>
      </x:c>
      <x:c r="D6" t="str">
        <x:v>Xiaomi</x:v>
      </x:c>
      <x:c r="E6" t="str">
        <x:v>Khulna</x:v>
      </x:c>
      <x:c r="F6" t="str">
        <x:v>Khulna DC</x:v>
      </x:c>
      <x:c r="G6" t="n">
        <x:v>3193</x:v>
      </x:c>
      <x:c r="H6" t="n">
        <x:v>690</x:v>
      </x:c>
      <x:c r="I6" t="n">
        <x:v>1284</x:v>
      </x:c>
      <x:c r="J6" t="n">
        <x:v>128</x:v>
      </x:c>
      <x:c r="K6" t="n">
        <x:v>120</x:v>
      </x:c>
      <x:c r="L6" t="n">
        <x:v>45676</x:v>
      </x:c>
      <x:c r="M6" t="str">
        <x:v>Overstock Risk</x:v>
      </x:c>
    </x:row>
    <x:row r="7">
      <x:c r="A7" t="str">
        <x:v>XIA-DPF-13-06</x:v>
      </x:c>
      <x:c r="B7" t="str">
        <x:v>Smart Watch</x:v>
      </x:c>
      <x:c r="C7" t="str">
        <x:v>Electronics</x:v>
      </x:c>
      <x:c r="D7" t="str">
        <x:v>Xiaomi</x:v>
      </x:c>
      <x:c r="E7" t="str">
        <x:v>Barishal</x:v>
      </x:c>
      <x:c r="F7" t="str">
        <x:v>Barishal DC</x:v>
      </x:c>
      <x:c r="G7" t="n">
        <x:v>1303</x:v>
      </x:c>
      <x:c r="H7" t="n">
        <x:v>493</x:v>
      </x:c>
      <x:c r="I7" t="n">
        <x:v>1221</x:v>
      </x:c>
      <x:c r="J7" t="n">
        <x:v>523</x:v>
      </x:c>
      <x:c r="K7" t="n">
        <x:v>120</x:v>
      </x:c>
      <x:c r="L7" t="n">
        <x:v>45677</x:v>
      </x:c>
      <x:c r="M7" t="str">
        <x:v>OK</x:v>
      </x:c>
    </x:row>
    <x:row r="8">
      <x:c r="A8" t="str">
        <x:v>XIA-DPF-13-07</x:v>
      </x:c>
      <x:c r="B8" t="str">
        <x:v>Smart Watch</x:v>
      </x:c>
      <x:c r="C8" t="str">
        <x:v>Electronics</x:v>
      </x:c>
      <x:c r="D8" t="str">
        <x:v>Xiaomi</x:v>
      </x:c>
      <x:c r="E8" t="str">
        <x:v>Rangpur</x:v>
      </x:c>
      <x:c r="F8" t="str">
        <x:v>Rangpur DC</x:v>
      </x:c>
      <x:c r="G8" t="n">
        <x:v>1644</x:v>
      </x:c>
      <x:c r="H8" t="n">
        <x:v>549</x:v>
      </x:c>
      <x:c r="I8" t="n">
        <x:v>1228</x:v>
      </x:c>
      <x:c r="J8" t="n">
        <x:v>298</x:v>
      </x:c>
      <x:c r="K8" t="n">
        <x:v>120</x:v>
      </x:c>
      <x:c r="L8" t="n">
        <x:v>45678</x:v>
      </x:c>
      <x:c r="M8" t="str">
        <x:v>OK</x:v>
      </x:c>
    </x:row>
    <x:row r="9">
      <x:c r="A9" t="str">
        <x:v>XIA-DPF-13-08</x:v>
      </x:c>
      <x:c r="B9" t="str">
        <x:v>Smart Watch</x:v>
      </x:c>
      <x:c r="C9" t="str">
        <x:v>Electronics</x:v>
      </x:c>
      <x:c r="D9" t="str">
        <x:v>Xiaomi</x:v>
      </x:c>
      <x:c r="E9" t="str">
        <x:v>Mymensingh</x:v>
      </x:c>
      <x:c r="F9" t="str">
        <x:v>Mymensingh DC</x:v>
      </x:c>
      <x:c r="G9" t="n">
        <x:v>2499</x:v>
      </x:c>
      <x:c r="H9" t="n">
        <x:v>712</x:v>
      </x:c>
      <x:c r="I9" t="n">
        <x:v>1344</x:v>
      </x:c>
      <x:c r="J9" t="n">
        <x:v>451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22.2</x:v>
      </x:c>
      <x:c r="G2" t="n">
        <x:v>23.1</x:v>
      </x:c>
      <x:c r="H2" t="n">
        <x:v>147240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31.7</x:v>
      </x:c>
      <x:c r="G3" t="n">
        <x:v>22.4</x:v>
      </x:c>
      <x:c r="H3" t="n">
        <x:v>104134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23.3</x:v>
      </x:c>
      <x:c r="G4" t="n">
        <x:v>15.9</x:v>
      </x:c>
      <x:c r="H4" t="n">
        <x:v>70851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11.7</x:v>
      </x:c>
      <x:c r="G5" t="n">
        <x:v>11.1</x:v>
      </x:c>
      <x:c r="H5" t="n">
        <x:v>109052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Electronics</x:v>
      </x:c>
      <x:c r="E2" t="n">
        <x:v>7165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Electronics</x:v>
      </x:c>
      <x:c r="E3" t="n">
        <x:v>6654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Electronics</x:v>
      </x:c>
      <x:c r="E4" t="n">
        <x:v>7338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Electronics</x:v>
      </x:c>
      <x:c r="E5" t="n">
        <x:v>5553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7.52</x:v>
      </x:c>
      <x:c r="C2" t="n">
        <x:v>99.09</x:v>
      </x:c>
      <x:c r="D2" t="n">
        <x:v>86.95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7.72</x:v>
      </x:c>
      <x:c r="C3" t="n">
        <x:v>101.04</x:v>
      </x:c>
      <x:c r="D3" t="n">
        <x:v>87.19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8.47</x:v>
      </x:c>
      <x:c r="C4" t="n">
        <x:v>100.55</x:v>
      </x:c>
      <x:c r="D4" t="n">
        <x:v>85.76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8.24</x:v>
      </x:c>
      <x:c r="C5" t="n">
        <x:v>100.05</x:v>
      </x:c>
      <x:c r="D5" t="n">
        <x:v>86.01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8.92</x:v>
      </x:c>
      <x:c r="C6" t="n">
        <x:v>102</x:v>
      </x:c>
      <x:c r="D6" t="n">
        <x:v>85.43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8.73</x:v>
      </x:c>
      <x:c r="C7" t="n">
        <x:v>100.57</x:v>
      </x:c>
      <x:c r="D7" t="n">
        <x:v>85.32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8.85</x:v>
      </x:c>
      <x:c r="C8" t="n">
        <x:v>101.43</x:v>
      </x:c>
      <x:c r="D8" t="n">
        <x:v>85.39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8.64</x:v>
      </x:c>
      <x:c r="C9" t="n">
        <x:v>102.27</x:v>
      </x:c>
      <x:c r="D9" t="n">
        <x:v>85.99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8.2</x:v>
      </x:c>
      <x:c r="C10" t="n">
        <x:v>102.83</x:v>
      </x:c>
      <x:c r="D10" t="n">
        <x:v>86.91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7.61</x:v>
      </x:c>
      <x:c r="C11" t="n">
        <x:v>101.85</x:v>
      </x:c>
      <x:c r="D11" t="n">
        <x:v>87.62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7.07</x:v>
      </x:c>
      <x:c r="C12" t="n">
        <x:v>102.48</x:v>
      </x:c>
      <x:c r="D12" t="n">
        <x:v>88.73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7.1</x:v>
      </x:c>
      <x:c r="C13" t="n">
        <x:v>103.08</x:v>
      </x:c>
      <x:c r="D13" t="n">
        <x:v>88.85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6.83</x:v>
      </x:c>
      <x:c r="C14" t="n">
        <x:v>103.26</x:v>
      </x:c>
      <x:c r="D14" t="n">
        <x:v>89.37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6.54</x:v>
      </x:c>
      <x:c r="C15" t="n">
        <x:v>103.18</x:v>
      </x:c>
      <x:c r="D15" t="n">
        <x:v>89.84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6.59</x:v>
      </x:c>
      <x:c r="C16" t="n">
        <x:v>104.65</x:v>
      </x:c>
      <x:c r="D16" t="n">
        <x:v>90.18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6.35</x:v>
      </x:c>
      <x:c r="C17" t="n">
        <x:v>105.45</x:v>
      </x:c>
      <x:c r="D17" t="n">
        <x:v>90.84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6.26</x:v>
      </x:c>
      <x:c r="C18" t="n">
        <x:v>104.67</x:v>
      </x:c>
      <x:c r="D18" t="n">
        <x:v>90.77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7.01</x:v>
      </x:c>
      <x:c r="C19" t="n">
        <x:v>104.78</x:v>
      </x:c>
      <x:c r="D19" t="n">
        <x:v>89.52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6</x:v>
      </x:c>
      <x:c r="E2" t="n">
        <x:v>11</x:v>
      </x:c>
      <x:c r="F2" t="n">
        <x:v>7</x:v>
      </x:c>
      <x:c r="G2" t="n">
        <x:v>1</x:v>
      </x:c>
      <x:c r="H2" t="n">
        <x:v>25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4</x:v>
      </x:c>
      <x:c r="E3" t="n">
        <x:v>12</x:v>
      </x:c>
      <x:c r="F3" t="n">
        <x:v>29</x:v>
      </x:c>
      <x:c r="G3" t="n">
        <x:v>2</x:v>
      </x:c>
      <x:c r="H3" t="n">
        <x:v>47</x:v>
      </x:c>
      <x:c r="I3" t="str">
        <x:v>Yes</x:v>
      </x:c>
      <x:c r="J3" t="str">
        <x:v>Import/shipping congestion</x:v>
      </x:c>
    </x:row>
    <x:row r="4">
      <x:c r="A4" t="str">
        <x:v>Supplier C</x:v>
      </x:c>
      <x:c r="B4" t="str">
        <x:v>India</x:v>
      </x:c>
      <x:c r="C4" t="n">
        <x:v>45565</x:v>
      </x:c>
      <x:c r="D4" t="n">
        <x:v>6</x:v>
      </x:c>
      <x:c r="E4" t="n">
        <x:v>11</x:v>
      </x:c>
      <x:c r="F4" t="n">
        <x:v>33</x:v>
      </x:c>
      <x:c r="G4" t="n">
        <x:v>2</x:v>
      </x:c>
      <x:c r="H4" t="n">
        <x:v>52</x:v>
      </x:c>
      <x:c r="I4" t="str">
        <x:v>Yes</x:v>
      </x:c>
      <x:c r="J4" t="str">
        <x:v>Import/shipping congestion</x:v>
      </x:c>
    </x:row>
    <x:row r="5">
      <x:c r="A5" t="str">
        <x:v>Supplier D</x:v>
      </x:c>
      <x:c r="B5" t="str">
        <x:v>Vietnam</x:v>
      </x:c>
      <x:c r="C5" t="n">
        <x:v>45595</x:v>
      </x:c>
      <x:c r="D5" t="n">
        <x:v>6</x:v>
      </x:c>
      <x:c r="E5" t="n">
        <x:v>11</x:v>
      </x:c>
      <x:c r="F5" t="n">
        <x:v>3</x:v>
      </x:c>
      <x:c r="G5" t="n">
        <x:v>5</x:v>
      </x:c>
      <x:c r="H5" t="n">
        <x:v>25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432</x:v>
      </x:c>
      <x:c r="C2" t="n">
        <x:v>397</x:v>
      </x:c>
      <x:c r="D2" t="n">
        <x:f>C2-B2</x:f>
        <x:v>-35</x:v>
      </x:c>
      <x:c r="E2" t="n">
        <x:f>ABS(D2)</x:f>
        <x:v>35</x:v>
      </x:c>
      <x:c r="F2" s="22" t="n">
        <x:f>IFERROR(E2/C2,0)</x:f>
        <x:v>0.08816120906801007</x:v>
      </x:c>
      <x:c r="G2" t="str">
        <x:v>Formula columns should calculate error and accuracy</x:v>
      </x:c>
    </x:row>
    <x:row r="3">
      <x:c r="A3" t="n">
        <x:v>45505</x:v>
      </x:c>
      <x:c r="B3" t="n">
        <x:v>420</x:v>
      </x:c>
      <x:c r="C3" t="n">
        <x:v>389</x:v>
      </x:c>
      <x:c r="D3" t="n">
        <x:f>C3-B3</x:f>
        <x:v>-31</x:v>
      </x:c>
      <x:c r="E3" t="n">
        <x:f>ABS(D3)</x:f>
        <x:v>31</x:v>
      </x:c>
      <x:c r="F3" s="22" t="n">
        <x:f>IFERROR(E3/C3,0)</x:f>
        <x:v>0.07969151670951156</x:v>
      </x:c>
      <x:c r="G3" t="str">
        <x:v>Formula columns should calculate error and accuracy</x:v>
      </x:c>
    </x:row>
    <x:row r="4">
      <x:c r="A4" t="n">
        <x:v>45536</x:v>
      </x:c>
      <x:c r="B4" t="n">
        <x:v>457</x:v>
      </x:c>
      <x:c r="C4" t="n">
        <x:v>518</x:v>
      </x:c>
      <x:c r="D4" t="n">
        <x:f>C4-B4</x:f>
        <x:v>61</x:v>
      </x:c>
      <x:c r="E4" t="n">
        <x:f>ABS(D4)</x:f>
        <x:v>61</x:v>
      </x:c>
      <x:c r="F4" s="22" t="n">
        <x:f>IFERROR(E4/C4,0)</x:f>
        <x:v>0.11776061776061776</x:v>
      </x:c>
      <x:c r="G4" t="str">
        <x:v>Formula columns should calculate error and accuracy</x:v>
      </x:c>
    </x:row>
    <x:row r="5">
      <x:c r="A5" t="n">
        <x:v>45566</x:v>
      </x:c>
      <x:c r="B5" t="n">
        <x:v>444</x:v>
      </x:c>
      <x:c r="C5" t="n">
        <x:v>433</x:v>
      </x:c>
      <x:c r="D5" t="n">
        <x:f>C5-B5</x:f>
        <x:v>-11</x:v>
      </x:c>
      <x:c r="E5" t="n">
        <x:f>ABS(D5)</x:f>
        <x:v>11</x:v>
      </x:c>
      <x:c r="F5" s="22" t="n">
        <x:f>IFERROR(E5/C5,0)</x:f>
        <x:v>0.025404157043879907</x:v>
      </x:c>
      <x:c r="G5" t="str">
        <x:v>Formula columns should calculate error and accuracy</x:v>
      </x:c>
    </x:row>
    <x:row r="6">
      <x:c r="A6" t="n">
        <x:v>45597</x:v>
      </x:c>
      <x:c r="B6" t="n">
        <x:v>472</x:v>
      </x:c>
      <x:c r="C6" t="n">
        <x:v>404</x:v>
      </x:c>
      <x:c r="D6" t="n">
        <x:f>C6-B6</x:f>
        <x:v>-68</x:v>
      </x:c>
      <x:c r="E6" t="n">
        <x:f>ABS(D6)</x:f>
        <x:v>68</x:v>
      </x:c>
      <x:c r="F6" s="22" t="n">
        <x:f>IFERROR(E6/C6,0)</x:f>
        <x:v>0.16831683168316833</x:v>
      </x:c>
      <x:c r="G6" t="str">
        <x:v>Formula columns should calculate error and accuracy</x:v>
      </x:c>
    </x:row>
    <x:row r="7">
      <x:c r="A7" t="n">
        <x:v>45627</x:v>
      </x:c>
      <x:c r="B7" t="n">
        <x:v>539</x:v>
      </x:c>
      <x:c r="C7" t="n">
        <x:v>538</x:v>
      </x:c>
      <x:c r="D7" t="n">
        <x:f>C7-B7</x:f>
        <x:v>-1</x:v>
      </x:c>
      <x:c r="E7" t="n">
        <x:f>ABS(D7)</x:f>
        <x:v>1</x:v>
      </x:c>
      <x:c r="F7" s="22" t="n">
        <x:f>IFERROR(E7/C7,0)</x:f>
        <x:v>0.0018587360594795538</x:v>
      </x:c>
      <x:c r="G7" t="str">
        <x:v>Formula columns should calculate error and accuracy</x:v>
      </x:c>
    </x:row>
    <x:row r="8">
      <x:c r="A8" t="n">
        <x:v>45658</x:v>
      </x:c>
      <x:c r="B8" t="n">
        <x:v>530</x:v>
      </x:c>
      <x:c r="C8" t="n">
        <x:v>456</x:v>
      </x:c>
      <x:c r="D8" t="n">
        <x:f>C8-B8</x:f>
        <x:v>-74</x:v>
      </x:c>
      <x:c r="E8" t="n">
        <x:f>ABS(D8)</x:f>
        <x:v>74</x:v>
      </x:c>
      <x:c r="F8" s="22" t="n">
        <x:f>IFERROR(E8/C8,0)</x:f>
        <x:v>0.16228070175438597</x:v>
      </x:c>
      <x:c r="G8" t="str">
        <x:v>Formula columns should calculate error and accuracy</x:v>
      </x:c>
    </x:row>
    <x:row r="9">
      <x:c r="A9" t="n">
        <x:v>45689</x:v>
      </x:c>
      <x:c r="B9" t="n">
        <x:v>471</x:v>
      </x:c>
      <x:c r="C9" t="n">
        <x:v>467</x:v>
      </x:c>
      <x:c r="D9" t="n">
        <x:f>C9-B9</x:f>
        <x:v>-4</x:v>
      </x:c>
      <x:c r="E9" t="n">
        <x:f>ABS(D9)</x:f>
        <x:v>4</x:v>
      </x:c>
      <x:c r="F9" s="22" t="n">
        <x:f>IFERROR(E9/C9,0)</x:f>
        <x:v>0.008565310492505354</x:v>
      </x:c>
      <x:c r="G9" t="str">
        <x:v>Formula columns should calculate error and accuracy</x:v>
      </x:c>
    </x:row>
    <x:row r="10">
      <x:c r="A10" t="n">
        <x:v>45717</x:v>
      </x:c>
      <x:c r="B10" t="n">
        <x:v>528</x:v>
      </x:c>
      <x:c r="C10" t="n">
        <x:v>541</x:v>
      </x:c>
      <x:c r="D10" t="n">
        <x:f>C10-B10</x:f>
        <x:v>13</x:v>
      </x:c>
      <x:c r="E10" t="n">
        <x:f>ABS(D10)</x:f>
        <x:v>13</x:v>
      </x:c>
      <x:c r="F10" s="22" t="n">
        <x:f>IFERROR(E10/C10,0)</x:f>
        <x:v>0.024029574861367836</x:v>
      </x:c>
      <x:c r="G10" t="str">
        <x:v>Formula columns should calculate error and accuracy</x:v>
      </x:c>
    </x:row>
    <x:row r="11">
      <x:c r="A11" t="n">
        <x:v>45748</x:v>
      </x:c>
      <x:c r="B11" t="n">
        <x:v>489</x:v>
      </x:c>
      <x:c r="C11" t="n">
        <x:v>419</x:v>
      </x:c>
      <x:c r="D11" t="n">
        <x:f>C11-B11</x:f>
        <x:v>-70</x:v>
      </x:c>
      <x:c r="E11" t="n">
        <x:f>ABS(D11)</x:f>
        <x:v>70</x:v>
      </x:c>
      <x:c r="F11" s="22" t="n">
        <x:f>IFERROR(E11/C11,0)</x:f>
        <x:v>0.16706443914081145</x:v>
      </x:c>
      <x:c r="G11" t="str">
        <x:v>Formula columns should calculate error and accuracy</x:v>
      </x:c>
    </x:row>
    <x:row r="12">
      <x:c r="A12" t="n">
        <x:v>45778</x:v>
      </x:c>
      <x:c r="B12" t="n">
        <x:v>546</x:v>
      </x:c>
      <x:c r="C12" t="n">
        <x:v>578</x:v>
      </x:c>
      <x:c r="D12" t="n">
        <x:f>C12-B12</x:f>
        <x:v>32</x:v>
      </x:c>
      <x:c r="E12" t="n">
        <x:f>ABS(D12)</x:f>
        <x:v>32</x:v>
      </x:c>
      <x:c r="F12" s="22" t="n">
        <x:f>IFERROR(E12/C12,0)</x:f>
        <x:v>0.05536332179930796</x:v>
      </x:c>
      <x:c r="G12" t="str">
        <x:v>Formula columns should calculate error and accuracy</x:v>
      </x:c>
    </x:row>
    <x:row r="13">
      <x:c r="A13" t="n">
        <x:v>45809</x:v>
      </x:c>
      <x:c r="B13" t="n">
        <x:v>580</x:v>
      </x:c>
      <x:c r="C13" t="n">
        <x:v>676</x:v>
      </x:c>
      <x:c r="D13" t="n">
        <x:f>C13-B13</x:f>
        <x:v>96</x:v>
      </x:c>
      <x:c r="E13" t="n">
        <x:f>ABS(D13)</x:f>
        <x:v>96</x:v>
      </x:c>
      <x:c r="F13" s="22" t="n">
        <x:f>IFERROR(E13/C13,0)</x:f>
        <x:v>0.14201183431952663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53</x:v>
      </x:c>
      <x:c r="E2" t="n">
        <x:v>214</x:v>
      </x:c>
      <x:c r="F2" t="str">
        <x:v>Low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69</x:v>
      </x:c>
      <x:c r="E3" t="n">
        <x:v>354</x:v>
      </x:c>
      <x:c r="F3" t="str">
        <x:v>Medium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91</x:v>
      </x:c>
      <x:c r="E4" t="n">
        <x:v>492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60</x:v>
      </x:c>
      <x:c r="E5" t="n">
        <x:v>280</x:v>
      </x:c>
      <x:c r="F5" t="str">
        <x:v>Medium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55</x:v>
      </x:c>
      <x:c r="E6" t="n">
        <x:v>270</x:v>
      </x:c>
      <x:c r="F6" t="str">
        <x:v>Low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55</x:v>
      </x:c>
      <x:c r="E7" t="n">
        <x:v>203</x:v>
      </x:c>
      <x:c r="F7" t="str">
        <x:v>Low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64</x:v>
      </x:c>
      <x:c r="E8" t="n">
        <x:v>255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54</x:v>
      </x:c>
      <x:c r="E9" t="n">
        <x:v>190</x:v>
      </x:c>
      <x:c r="F9" t="str">
        <x:v>Low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22</x:v>
      </x:c>
      <x:c r="I2" t="str">
        <x:v>High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Festival-based</x:v>
      </x:c>
      <x:c r="E2" t="n">
        <x:v>5</x:v>
      </x:c>
      <x:c r="F2" t="n">
        <x:v>34211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Festival-based</x:v>
      </x:c>
      <x:c r="E3" t="n">
        <x:v>2</x:v>
      </x:c>
      <x:c r="F3" t="n">
        <x:v>13217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Bi-weekly</x:v>
      </x:c>
      <x:c r="E4" t="n">
        <x:v>8</x:v>
      </x:c>
      <x:c r="F4" t="n">
        <x:v>60127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Bi-weekly</x:v>
      </x:c>
      <x:c r="E5" t="n">
        <x:v>8</x:v>
      </x:c>
      <x:c r="F5" t="n">
        <x:v>44938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Monthly</x:v>
      </x:c>
      <x:c r="E6" t="n">
        <x:v>1</x:v>
      </x:c>
      <x:c r="F6" t="n">
        <x:v>8900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135</x:v>
      </x:c>
      <x:c r="F2" t="n">
        <x:v>94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117</x:v>
      </x:c>
      <x:c r="F3" t="n">
        <x:v>95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52</x:v>
      </x:c>
      <x:c r="F4" t="n">
        <x:v>84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15</x:v>
      </x:c>
      <x:c r="F5" t="n">
        <x:v>73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Smart Watch Xiaomi Electronics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Smart Watch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Electronics competitor pricing promotions Bangladesh Xiaomi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Smart Watch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86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86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87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80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