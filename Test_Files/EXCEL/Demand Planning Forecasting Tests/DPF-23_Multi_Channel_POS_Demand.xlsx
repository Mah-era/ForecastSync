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4df323be2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d4bc0cd3913749aa"/>
    <x:sheet xmlns:r="http://schemas.openxmlformats.org/officeDocument/2006/relationships" name="Historical_Sales" sheetId="2" r:id="Rb347e92ad9e2494b"/>
    <x:sheet xmlns:r="http://schemas.openxmlformats.org/officeDocument/2006/relationships" name="Inventory" sheetId="3" r:id="R63f3689d70b84d28"/>
    <x:sheet xmlns:r="http://schemas.openxmlformats.org/officeDocument/2006/relationships" name="Promotions" sheetId="4" r:id="Rc319f3965dd14c18"/>
    <x:sheet xmlns:r="http://schemas.openxmlformats.org/officeDocument/2006/relationships" name="Competitors" sheetId="5" r:id="R6b722fc76c1e4e16"/>
    <x:sheet xmlns:r="http://schemas.openxmlformats.org/officeDocument/2006/relationships" name="Economic" sheetId="6" r:id="Rb1f2333c7daf43c4"/>
    <x:sheet xmlns:r="http://schemas.openxmlformats.org/officeDocument/2006/relationships" name="Lead_Time" sheetId="7" r:id="Rde41922613314ba5"/>
    <x:sheet xmlns:r="http://schemas.openxmlformats.org/officeDocument/2006/relationships" name="Forecast_Actual" sheetId="8" r:id="Rb51f74e8381249cb"/>
    <x:sheet xmlns:r="http://schemas.openxmlformats.org/officeDocument/2006/relationships" name="Regional_Demand_Map" sheetId="9" r:id="R9d7cce15d5fa4a9e"/>
    <x:sheet xmlns:r="http://schemas.openxmlformats.org/officeDocument/2006/relationships" name="SCM_Flow_Map" sheetId="10" r:id="R0934bf3a96444e75"/>
    <x:sheet xmlns:r="http://schemas.openxmlformats.org/officeDocument/2006/relationships" name="Customer_Patterns" sheetId="11" r:id="R8b3b316383d0406f"/>
    <x:sheet xmlns:r="http://schemas.openxmlformats.org/officeDocument/2006/relationships" name="Technology_Data" sheetId="12" r:id="R7479a82635ca4cec"/>
    <x:sheet xmlns:r="http://schemas.openxmlformats.org/officeDocument/2006/relationships" name="Web_Search_Seeds" sheetId="13" r:id="Rcfbe781828f34c61"/>
    <x:sheet xmlns:r="http://schemas.openxmlformats.org/officeDocument/2006/relationships" name="Manual_Expert_Opinion" sheetId="14" r:id="Rf06e4b45d86448d7"/>
    <x:sheet xmlns:r="http://schemas.openxmlformats.org/officeDocument/2006/relationships" name="Data_Issues" sheetId="15" r:id="R8f34502f9e32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c507e1c394edc" /><Relationship Type="http://schemas.openxmlformats.org/officeDocument/2006/relationships/theme" Target="/xl/theme/theme1.xml" Id="Rfeb1a5ecb3aa4cd2" /><Relationship Type="http://schemas.openxmlformats.org/officeDocument/2006/relationships/sharedStrings" Target="/xl/sharedStrings.xml" Id="R6eb759b0bef64c95" /><Relationship Type="http://schemas.openxmlformats.org/officeDocument/2006/relationships/worksheet" Target="/xl/worksheets/sheet1.xml" Id="Rd4bc0cd3913749aa" /><Relationship Type="http://schemas.openxmlformats.org/officeDocument/2006/relationships/worksheet" Target="/xl/worksheets/sheet2.xml" Id="Rb347e92ad9e2494b" /><Relationship Type="http://schemas.openxmlformats.org/officeDocument/2006/relationships/worksheet" Target="/xl/worksheets/sheet3.xml" Id="R63f3689d70b84d28" /><Relationship Type="http://schemas.openxmlformats.org/officeDocument/2006/relationships/worksheet" Target="/xl/worksheets/sheet4.xml" Id="Rc319f3965dd14c18" /><Relationship Type="http://schemas.openxmlformats.org/officeDocument/2006/relationships/worksheet" Target="/xl/worksheets/sheet5.xml" Id="R6b722fc76c1e4e16" /><Relationship Type="http://schemas.openxmlformats.org/officeDocument/2006/relationships/worksheet" Target="/xl/worksheets/sheet6.xml" Id="Rb1f2333c7daf43c4" /><Relationship Type="http://schemas.openxmlformats.org/officeDocument/2006/relationships/worksheet" Target="/xl/worksheets/sheet7.xml" Id="Rde41922613314ba5" /><Relationship Type="http://schemas.openxmlformats.org/officeDocument/2006/relationships/worksheet" Target="/xl/worksheets/sheet8.xml" Id="Rb51f74e8381249cb" /><Relationship Type="http://schemas.openxmlformats.org/officeDocument/2006/relationships/worksheet" Target="/xl/worksheets/sheet9.xml" Id="R9d7cce15d5fa4a9e" /><Relationship Type="http://schemas.openxmlformats.org/officeDocument/2006/relationships/worksheet" Target="/xl/worksheets/sheet10.xml" Id="R0934bf3a96444e75" /><Relationship Type="http://schemas.openxmlformats.org/officeDocument/2006/relationships/worksheet" Target="/xl/worksheets/sheet11.xml" Id="R8b3b316383d0406f" /><Relationship Type="http://schemas.openxmlformats.org/officeDocument/2006/relationships/worksheet" Target="/xl/worksheets/sheet12.xml" Id="R7479a82635ca4cec" /><Relationship Type="http://schemas.openxmlformats.org/officeDocument/2006/relationships/worksheet" Target="/xl/worksheets/sheet13.xml" Id="Rcfbe781828f34c61" /><Relationship Type="http://schemas.openxmlformats.org/officeDocument/2006/relationships/worksheet" Target="/xl/worksheets/sheet14.xml" Id="Rf06e4b45d86448d7" /><Relationship Type="http://schemas.openxmlformats.org/officeDocument/2006/relationships/worksheet" Target="/xl/worksheets/sheet15.xml" Id="R8f34502f9e3244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DPF-23</x:v>
      </x:c>
    </x:row>
    <x:row r="3">
      <x:c r="A3" t="str">
        <x:v>Scenario Title</x:v>
      </x:c>
      <x:c r="B3" t="str">
        <x:v>Multi-Channel POS Demand</x:v>
      </x:c>
    </x:row>
    <x:row r="4">
      <x:c r="A4" t="str">
        <x:v>Purpose</x:v>
      </x:c>
      <x:c r="B4" t="str">
        <x:v>Test retail/online/wholesale channel analytics.</x:v>
      </x:c>
    </x:row>
    <x:row r="5">
      <x:c r="A5" t="str">
        <x:v>Product Name</x:v>
      </x:c>
      <x:c r="B5" t="str">
        <x:v>Wireless Earbuds</x:v>
      </x:c>
    </x:row>
    <x:row r="6">
      <x:c r="A6" t="str">
        <x:v>Category</x:v>
      </x:c>
      <x:c r="B6" t="str">
        <x:v>Electronics</x:v>
      </x:c>
    </x:row>
    <x:row r="7">
      <x:c r="A7" t="str">
        <x:v>Brand</x:v>
      </x:c>
      <x:c r="B7" t="str">
        <x:v>Realme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Customer Demand Patterns, Technology &amp; Data Tools</x:v>
      </x:c>
    </x:row>
    <x:row r="11">
      <x:c r="A11" t="str">
        <x:v>Recommended Inputs To Tick</x:v>
      </x:c>
      <x:c r="B11" t="str">
        <x:v>POS / ERP Data, Customer Demand Data, Historical Sales Data</x:v>
      </x:c>
    </x:row>
    <x:row r="12">
      <x:c r="A12" t="str">
        <x:v>Recommended Outputs To Tick</x:v>
      </x:c>
      <x:c r="B12" t="str">
        <x:v>Customer Demand Pattern, Data Source Usage Chart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Wireless Earbuds</x:v>
      </x:c>
      <x:c r="C2" t="str">
        <x:v>Electronics</x:v>
      </x:c>
      <x:c r="D2" t="str">
        <x:v>Realme</x:v>
      </x:c>
      <x:c r="E2" t="str">
        <x:v>Dhaka</x:v>
      </x:c>
      <x:c r="F2" t="str">
        <x:v>Retail</x:v>
      </x:c>
      <x:c r="G2" t="n">
        <x:v>648</x:v>
      </x:c>
      <x:c r="H2" t="n">
        <x:v>2900</x:v>
      </x:c>
      <x:c r="I2" t="n">
        <x:v>1879200</x:v>
      </x:c>
      <x:c r="J2" t="str"/>
    </x:row>
    <x:row r="3">
      <x:c r="A3" t="n">
        <x:v>45323</x:v>
      </x:c>
      <x:c r="B3" t="str">
        <x:v>Wireless Earbuds</x:v>
      </x:c>
      <x:c r="C3" t="str">
        <x:v>Electronics</x:v>
      </x:c>
      <x:c r="D3" t="str">
        <x:v>Realme</x:v>
      </x:c>
      <x:c r="E3" t="str">
        <x:v>Chattogram</x:v>
      </x:c>
      <x:c r="F3" t="str">
        <x:v>Online</x:v>
      </x:c>
      <x:c r="G3" t="n">
        <x:v>642</x:v>
      </x:c>
      <x:c r="H3" t="n">
        <x:v>2900</x:v>
      </x:c>
      <x:c r="I3" t="n">
        <x:v>1861800</x:v>
      </x:c>
      <x:c r="J3" t="str"/>
    </x:row>
    <x:row r="4">
      <x:c r="A4" t="n">
        <x:v>45352</x:v>
      </x:c>
      <x:c r="B4" t="str">
        <x:v>Wireless Earbuds</x:v>
      </x:c>
      <x:c r="C4" t="str">
        <x:v>Electronics</x:v>
      </x:c>
      <x:c r="D4" t="str">
        <x:v>Realme</x:v>
      </x:c>
      <x:c r="E4" t="str">
        <x:v>Sylhet</x:v>
      </x:c>
      <x:c r="F4" t="str">
        <x:v>Wholesale</x:v>
      </x:c>
      <x:c r="G4" t="n">
        <x:v>709</x:v>
      </x:c>
      <x:c r="H4" t="n">
        <x:v>2900</x:v>
      </x:c>
      <x:c r="I4" t="n">
        <x:v>2056100</x:v>
      </x:c>
      <x:c r="J4" t="str"/>
    </x:row>
    <x:row r="5">
      <x:c r="A5" t="n">
        <x:v>45383</x:v>
      </x:c>
      <x:c r="B5" t="str">
        <x:v>Wireless Earbuds</x:v>
      </x:c>
      <x:c r="C5" t="str">
        <x:v>Electronics</x:v>
      </x:c>
      <x:c r="D5" t="str">
        <x:v>Realme</x:v>
      </x:c>
      <x:c r="E5" t="str">
        <x:v>Rajshahi</x:v>
      </x:c>
      <x:c r="F5" t="str">
        <x:v>Modern Trade</x:v>
      </x:c>
      <x:c r="G5" t="n">
        <x:v>718</x:v>
      </x:c>
      <x:c r="H5" t="n">
        <x:v>2900</x:v>
      </x:c>
      <x:c r="I5" t="n">
        <x:v>2082200</x:v>
      </x:c>
      <x:c r="J5" t="str"/>
    </x:row>
    <x:row r="6">
      <x:c r="A6" t="n">
        <x:v>45413</x:v>
      </x:c>
      <x:c r="B6" t="str">
        <x:v>Wireless Earbuds</x:v>
      </x:c>
      <x:c r="C6" t="str">
        <x:v>Electronics</x:v>
      </x:c>
      <x:c r="D6" t="str">
        <x:v>Realme</x:v>
      </x:c>
      <x:c r="E6" t="str">
        <x:v>Khulna</x:v>
      </x:c>
      <x:c r="F6" t="str">
        <x:v>Retail</x:v>
      </x:c>
      <x:c r="G6" t="n">
        <x:v>736</x:v>
      </x:c>
      <x:c r="H6" t="n">
        <x:v>2900</x:v>
      </x:c>
      <x:c r="I6" t="n">
        <x:v>2134400</x:v>
      </x:c>
      <x:c r="J6" t="str"/>
    </x:row>
    <x:row r="7">
      <x:c r="A7" t="n">
        <x:v>45444</x:v>
      </x:c>
      <x:c r="B7" t="str">
        <x:v>Wireless Earbuds</x:v>
      </x:c>
      <x:c r="C7" t="str">
        <x:v>Electronics</x:v>
      </x:c>
      <x:c r="D7" t="str">
        <x:v>Realme</x:v>
      </x:c>
      <x:c r="E7" t="str">
        <x:v>Barishal</x:v>
      </x:c>
      <x:c r="F7" t="str">
        <x:v>Online</x:v>
      </x:c>
      <x:c r="G7" t="n">
        <x:v>794</x:v>
      </x:c>
      <x:c r="H7" t="n">
        <x:v>2900</x:v>
      </x:c>
      <x:c r="I7" t="n">
        <x:v>2302600</x:v>
      </x:c>
      <x:c r="J7" t="str"/>
    </x:row>
    <x:row r="8">
      <x:c r="A8" t="n">
        <x:v>45474</x:v>
      </x:c>
      <x:c r="B8" t="str">
        <x:v>Wireless Earbuds</x:v>
      </x:c>
      <x:c r="C8" t="str">
        <x:v>Electronics</x:v>
      </x:c>
      <x:c r="D8" t="str">
        <x:v>Realme</x:v>
      </x:c>
      <x:c r="E8" t="str">
        <x:v>Rangpur</x:v>
      </x:c>
      <x:c r="F8" t="str">
        <x:v>Wholesale</x:v>
      </x:c>
      <x:c r="G8" t="n">
        <x:v>795</x:v>
      </x:c>
      <x:c r="H8" t="n">
        <x:v>2900</x:v>
      </x:c>
      <x:c r="I8" t="n">
        <x:v>2305500</x:v>
      </x:c>
      <x:c r="J8" t="str"/>
    </x:row>
    <x:row r="9">
      <x:c r="A9" t="n">
        <x:v>45505</x:v>
      </x:c>
      <x:c r="B9" t="str">
        <x:v>Wireless Earbuds</x:v>
      </x:c>
      <x:c r="C9" t="str">
        <x:v>Electronics</x:v>
      </x:c>
      <x:c r="D9" t="str">
        <x:v>Realme</x:v>
      </x:c>
      <x:c r="E9" t="str">
        <x:v>Mymensingh</x:v>
      </x:c>
      <x:c r="F9" t="str">
        <x:v>Modern Trade</x:v>
      </x:c>
      <x:c r="G9" t="n">
        <x:v>863</x:v>
      </x:c>
      <x:c r="H9" t="n">
        <x:v>2900</x:v>
      </x:c>
      <x:c r="I9" t="n">
        <x:v>2502700</x:v>
      </x:c>
      <x:c r="J9" t="str"/>
    </x:row>
    <x:row r="10">
      <x:c r="A10" t="n">
        <x:v>45536</x:v>
      </x:c>
      <x:c r="B10" t="str">
        <x:v>Wireless Earbuds</x:v>
      </x:c>
      <x:c r="C10" t="str">
        <x:v>Electronics</x:v>
      </x:c>
      <x:c r="D10" t="str">
        <x:v>Realme</x:v>
      </x:c>
      <x:c r="E10" t="str">
        <x:v>Dhaka</x:v>
      </x:c>
      <x:c r="F10" t="str">
        <x:v>Retail</x:v>
      </x:c>
      <x:c r="G10" t="n">
        <x:v>708</x:v>
      </x:c>
      <x:c r="H10" t="n">
        <x:v>2900</x:v>
      </x:c>
      <x:c r="I10" t="n">
        <x:v>2053200</x:v>
      </x:c>
      <x:c r="J10" t="str"/>
    </x:row>
    <x:row r="11">
      <x:c r="A11" t="n">
        <x:v>45566</x:v>
      </x:c>
      <x:c r="B11" t="str">
        <x:v>Wireless Earbuds</x:v>
      </x:c>
      <x:c r="C11" t="str">
        <x:v>Electronics</x:v>
      </x:c>
      <x:c r="D11" t="str">
        <x:v>Realme</x:v>
      </x:c>
      <x:c r="E11" t="str">
        <x:v>Chattogram</x:v>
      </x:c>
      <x:c r="F11" t="str">
        <x:v>Online</x:v>
      </x:c>
      <x:c r="G11" t="n">
        <x:v>776</x:v>
      </x:c>
      <x:c r="H11" t="n">
        <x:v>2900</x:v>
      </x:c>
      <x:c r="I11" t="n">
        <x:v>2250400</x:v>
      </x:c>
      <x:c r="J11" t="str"/>
    </x:row>
    <x:row r="12">
      <x:c r="A12" t="n">
        <x:v>45597</x:v>
      </x:c>
      <x:c r="B12" t="str">
        <x:v>Wireless Earbuds</x:v>
      </x:c>
      <x:c r="C12" t="str">
        <x:v>Electronics</x:v>
      </x:c>
      <x:c r="D12" t="str">
        <x:v>Realme</x:v>
      </x:c>
      <x:c r="E12" t="str">
        <x:v>Sylhet</x:v>
      </x:c>
      <x:c r="F12" t="str">
        <x:v>Wholesale</x:v>
      </x:c>
      <x:c r="G12" t="n">
        <x:v>774</x:v>
      </x:c>
      <x:c r="H12" t="n">
        <x:v>2900</x:v>
      </x:c>
      <x:c r="I12" t="n">
        <x:v>2244600</x:v>
      </x:c>
      <x:c r="J12" t="str"/>
    </x:row>
    <x:row r="13">
      <x:c r="A13" t="n">
        <x:v>45627</x:v>
      </x:c>
      <x:c r="B13" t="str">
        <x:v>Wireless Earbuds</x:v>
      </x:c>
      <x:c r="C13" t="str">
        <x:v>Electronics</x:v>
      </x:c>
      <x:c r="D13" t="str">
        <x:v>Realme</x:v>
      </x:c>
      <x:c r="E13" t="str">
        <x:v>Rajshahi</x:v>
      </x:c>
      <x:c r="F13" t="str">
        <x:v>Modern Trade</x:v>
      </x:c>
      <x:c r="G13" t="n">
        <x:v>886</x:v>
      </x:c>
      <x:c r="H13" t="n">
        <x:v>2900</x:v>
      </x:c>
      <x:c r="I13" t="n">
        <x:v>2569400</x:v>
      </x:c>
      <x:c r="J13" t="str"/>
    </x:row>
    <x:row r="14">
      <x:c r="A14" t="n">
        <x:v>45658</x:v>
      </x:c>
      <x:c r="B14" t="str">
        <x:v>Wireless Earbuds</x:v>
      </x:c>
      <x:c r="C14" t="str">
        <x:v>Electronics</x:v>
      </x:c>
      <x:c r="D14" t="str">
        <x:v>Realme</x:v>
      </x:c>
      <x:c r="E14" t="str">
        <x:v>Khulna</x:v>
      </x:c>
      <x:c r="F14" t="str">
        <x:v>Retail</x:v>
      </x:c>
      <x:c r="G14" t="n">
        <x:v>776</x:v>
      </x:c>
      <x:c r="H14" t="n">
        <x:v>2900</x:v>
      </x:c>
      <x:c r="I14" t="n">
        <x:v>2250400</x:v>
      </x:c>
      <x:c r="J14" t="str"/>
    </x:row>
    <x:row r="15">
      <x:c r="A15" t="n">
        <x:v>45689</x:v>
      </x:c>
      <x:c r="B15" t="str">
        <x:v>Wireless Earbuds</x:v>
      </x:c>
      <x:c r="C15" t="str">
        <x:v>Electronics</x:v>
      </x:c>
      <x:c r="D15" t="str">
        <x:v>Realme</x:v>
      </x:c>
      <x:c r="E15" t="str">
        <x:v>Barishal</x:v>
      </x:c>
      <x:c r="F15" t="str">
        <x:v>Online</x:v>
      </x:c>
      <x:c r="G15" t="n">
        <x:v>774</x:v>
      </x:c>
      <x:c r="H15" t="n">
        <x:v>2900</x:v>
      </x:c>
      <x:c r="I15" t="n">
        <x:v>2244600</x:v>
      </x:c>
      <x:c r="J15" t="str"/>
    </x:row>
    <x:row r="16">
      <x:c r="A16" t="n">
        <x:v>45717</x:v>
      </x:c>
      <x:c r="B16" t="str">
        <x:v>Wireless Earbuds</x:v>
      </x:c>
      <x:c r="C16" t="str">
        <x:v>Electronics</x:v>
      </x:c>
      <x:c r="D16" t="str">
        <x:v>Realme</x:v>
      </x:c>
      <x:c r="E16" t="str">
        <x:v>Rangpur</x:v>
      </x:c>
      <x:c r="F16" t="str">
        <x:v>Wholesale</x:v>
      </x:c>
      <x:c r="G16" t="n">
        <x:v>837</x:v>
      </x:c>
      <x:c r="H16" t="n">
        <x:v>2900</x:v>
      </x:c>
      <x:c r="I16" t="n">
        <x:v>2427300</x:v>
      </x:c>
      <x:c r="J16" t="str"/>
    </x:row>
    <x:row r="17">
      <x:c r="A17" t="n">
        <x:v>45748</x:v>
      </x:c>
      <x:c r="B17" t="str">
        <x:v>Wireless Earbuds</x:v>
      </x:c>
      <x:c r="C17" t="str">
        <x:v>Electronics</x:v>
      </x:c>
      <x:c r="D17" t="str">
        <x:v>Realme</x:v>
      </x:c>
      <x:c r="E17" t="str">
        <x:v>Mymensingh</x:v>
      </x:c>
      <x:c r="F17" t="str">
        <x:v>Modern Trade</x:v>
      </x:c>
      <x:c r="G17" t="n">
        <x:v>841</x:v>
      </x:c>
      <x:c r="H17" t="n">
        <x:v>2900</x:v>
      </x:c>
      <x:c r="I17" t="n">
        <x:v>2438900</x:v>
      </x:c>
      <x:c r="J17" t="str"/>
    </x:row>
    <x:row r="18">
      <x:c r="A18" t="n">
        <x:v>45778</x:v>
      </x:c>
      <x:c r="B18" t="str">
        <x:v>Wireless Earbuds</x:v>
      </x:c>
      <x:c r="C18" t="str">
        <x:v>Electronics</x:v>
      </x:c>
      <x:c r="D18" t="str">
        <x:v>Realme</x:v>
      </x:c>
      <x:c r="E18" t="str">
        <x:v>Dhaka</x:v>
      </x:c>
      <x:c r="F18" t="str">
        <x:v>Retail</x:v>
      </x:c>
      <x:c r="G18" t="n">
        <x:v>822</x:v>
      </x:c>
      <x:c r="H18" t="n">
        <x:v>2900</x:v>
      </x:c>
      <x:c r="I18" t="n">
        <x:v>2383800</x:v>
      </x:c>
      <x:c r="J18" t="str"/>
    </x:row>
    <x:row r="19">
      <x:c r="A19" t="n">
        <x:v>45809</x:v>
      </x:c>
      <x:c r="B19" t="str">
        <x:v>Wireless Earbuds</x:v>
      </x:c>
      <x:c r="C19" t="str">
        <x:v>Electronics</x:v>
      </x:c>
      <x:c r="D19" t="str">
        <x:v>Realme</x:v>
      </x:c>
      <x:c r="E19" t="str">
        <x:v>Chattogram</x:v>
      </x:c>
      <x:c r="F19" t="str">
        <x:v>Online</x:v>
      </x:c>
      <x:c r="G19" t="n">
        <x:v>826</x:v>
      </x:c>
      <x:c r="H19" t="n">
        <x:v>2900</x:v>
      </x:c>
      <x:c r="I19" t="n">
        <x:v>2395400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REA-DPF-23-01</x:v>
      </x:c>
      <x:c r="B2" t="str">
        <x:v>Wireless Earbuds</x:v>
      </x:c>
      <x:c r="C2" t="str">
        <x:v>Electronics</x:v>
      </x:c>
      <x:c r="D2" t="str">
        <x:v>Realme</x:v>
      </x:c>
      <x:c r="E2" t="str">
        <x:v>Dhaka</x:v>
      </x:c>
      <x:c r="F2" t="str">
        <x:v>Dhaka DC</x:v>
      </x:c>
      <x:c r="G2" t="n">
        <x:v>3529</x:v>
      </x:c>
      <x:c r="H2" t="n">
        <x:v>562</x:v>
      </x:c>
      <x:c r="I2" t="n">
        <x:v>1398</x:v>
      </x:c>
      <x:c r="J2" t="n">
        <x:v>378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REA-DPF-23-02</x:v>
      </x:c>
      <x:c r="B3" t="str">
        <x:v>Wireless Earbuds</x:v>
      </x:c>
      <x:c r="C3" t="str">
        <x:v>Electronics</x:v>
      </x:c>
      <x:c r="D3" t="str">
        <x:v>Realme</x:v>
      </x:c>
      <x:c r="E3" t="str">
        <x:v>Chattogram</x:v>
      </x:c>
      <x:c r="F3" t="str">
        <x:v>Chattogram DC</x:v>
      </x:c>
      <x:c r="G3" t="n">
        <x:v>1020</x:v>
      </x:c>
      <x:c r="H3" t="n">
        <x:v>715</x:v>
      </x:c>
      <x:c r="I3" t="n">
        <x:v>1543</x:v>
      </x:c>
      <x:c r="J3" t="n">
        <x:v>608</x:v>
      </x:c>
      <x:c r="K3" t="n">
        <x:v>120</x:v>
      </x:c>
      <x:c r="L3" t="n">
        <x:v>45673</x:v>
      </x:c>
      <x:c r="M3" t="str">
        <x:v>Reorder Needed</x:v>
      </x:c>
    </x:row>
    <x:row r="4">
      <x:c r="A4" t="str">
        <x:v>REA-DPF-23-03</x:v>
      </x:c>
      <x:c r="B4" t="str">
        <x:v>Wireless Earbuds</x:v>
      </x:c>
      <x:c r="C4" t="str">
        <x:v>Electronics</x:v>
      </x:c>
      <x:c r="D4" t="str">
        <x:v>Realme</x:v>
      </x:c>
      <x:c r="E4" t="str">
        <x:v>Sylhet</x:v>
      </x:c>
      <x:c r="F4" t="str">
        <x:v>Sylhet DC</x:v>
      </x:c>
      <x:c r="G4" t="n">
        <x:v>3538</x:v>
      </x:c>
      <x:c r="H4" t="n">
        <x:v>673</x:v>
      </x:c>
      <x:c r="I4" t="n">
        <x:v>1286</x:v>
      </x:c>
      <x:c r="J4" t="n">
        <x:v>342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REA-DPF-23-04</x:v>
      </x:c>
      <x:c r="B5" t="str">
        <x:v>Wireless Earbuds</x:v>
      </x:c>
      <x:c r="C5" t="str">
        <x:v>Electronics</x:v>
      </x:c>
      <x:c r="D5" t="str">
        <x:v>Realme</x:v>
      </x:c>
      <x:c r="E5" t="str">
        <x:v>Rajshahi</x:v>
      </x:c>
      <x:c r="F5" t="str">
        <x:v>Rajshahi DC</x:v>
      </x:c>
      <x:c r="G5" t="n">
        <x:v>1490</x:v>
      </x:c>
      <x:c r="H5" t="n">
        <x:v>550</x:v>
      </x:c>
      <x:c r="I5" t="n">
        <x:v>1129</x:v>
      </x:c>
      <x:c r="J5" t="n">
        <x:v>283</x:v>
      </x:c>
      <x:c r="K5" t="n">
        <x:v>120</x:v>
      </x:c>
      <x:c r="L5" t="n">
        <x:v>45675</x:v>
      </x:c>
      <x:c r="M5" t="str">
        <x:v>OK</x:v>
      </x:c>
    </x:row>
    <x:row r="6">
      <x:c r="A6" t="str">
        <x:v>REA-DPF-23-05</x:v>
      </x:c>
      <x:c r="B6" t="str">
        <x:v>Wireless Earbuds</x:v>
      </x:c>
      <x:c r="C6" t="str">
        <x:v>Electronics</x:v>
      </x:c>
      <x:c r="D6" t="str">
        <x:v>Realme</x:v>
      </x:c>
      <x:c r="E6" t="str">
        <x:v>Khulna</x:v>
      </x:c>
      <x:c r="F6" t="str">
        <x:v>Khulna DC</x:v>
      </x:c>
      <x:c r="G6" t="n">
        <x:v>3708</x:v>
      </x:c>
      <x:c r="H6" t="n">
        <x:v>513</x:v>
      </x:c>
      <x:c r="I6" t="n">
        <x:v>1324</x:v>
      </x:c>
      <x:c r="J6" t="n">
        <x:v>325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REA-DPF-23-06</x:v>
      </x:c>
      <x:c r="B7" t="str">
        <x:v>Wireless Earbuds</x:v>
      </x:c>
      <x:c r="C7" t="str">
        <x:v>Electronics</x:v>
      </x:c>
      <x:c r="D7" t="str">
        <x:v>Realme</x:v>
      </x:c>
      <x:c r="E7" t="str">
        <x:v>Barishal</x:v>
      </x:c>
      <x:c r="F7" t="str">
        <x:v>Barishal DC</x:v>
      </x:c>
      <x:c r="G7" t="n">
        <x:v>2091</x:v>
      </x:c>
      <x:c r="H7" t="n">
        <x:v>703</x:v>
      </x:c>
      <x:c r="I7" t="n">
        <x:v>1582</x:v>
      </x:c>
      <x:c r="J7" t="n">
        <x:v>381</x:v>
      </x:c>
      <x:c r="K7" t="n">
        <x:v>120</x:v>
      </x:c>
      <x:c r="L7" t="n">
        <x:v>45677</x:v>
      </x:c>
      <x:c r="M7" t="str">
        <x:v>OK</x:v>
      </x:c>
    </x:row>
    <x:row r="8">
      <x:c r="A8" t="str">
        <x:v>REA-DPF-23-07</x:v>
      </x:c>
      <x:c r="B8" t="str">
        <x:v>Wireless Earbuds</x:v>
      </x:c>
      <x:c r="C8" t="str">
        <x:v>Electronics</x:v>
      </x:c>
      <x:c r="D8" t="str">
        <x:v>Realme</x:v>
      </x:c>
      <x:c r="E8" t="str">
        <x:v>Rangpur</x:v>
      </x:c>
      <x:c r="F8" t="str">
        <x:v>Rangpur DC</x:v>
      </x:c>
      <x:c r="G8" t="n">
        <x:v>2940</x:v>
      </x:c>
      <x:c r="H8" t="n">
        <x:v>483</x:v>
      </x:c>
      <x:c r="I8" t="n">
        <x:v>1138</x:v>
      </x:c>
      <x:c r="J8" t="n">
        <x:v>608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REA-DPF-23-08</x:v>
      </x:c>
      <x:c r="B9" t="str">
        <x:v>Wireless Earbuds</x:v>
      </x:c>
      <x:c r="C9" t="str">
        <x:v>Electronics</x:v>
      </x:c>
      <x:c r="D9" t="str">
        <x:v>Realme</x:v>
      </x:c>
      <x:c r="E9" t="str">
        <x:v>Mymensingh</x:v>
      </x:c>
      <x:c r="F9" t="str">
        <x:v>Mymensingh DC</x:v>
      </x:c>
      <x:c r="G9" t="n">
        <x:v>2540</x:v>
      </x:c>
      <x:c r="H9" t="n">
        <x:v>589</x:v>
      </x:c>
      <x:c r="I9" t="n">
        <x:v>1388</x:v>
      </x:c>
      <x:c r="J9" t="n">
        <x:v>106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19</x:v>
      </x:c>
      <x:c r="G2" t="n">
        <x:v>18.1</x:v>
      </x:c>
      <x:c r="H2" t="n">
        <x:v>146745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20.8</x:v>
      </x:c>
      <x:c r="G3" t="n">
        <x:v>25.6</x:v>
      </x:c>
      <x:c r="H3" t="n">
        <x:v>77210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17.8</x:v>
      </x:c>
      <x:c r="G4" t="n">
        <x:v>17.9</x:v>
      </x:c>
      <x:c r="H4" t="n">
        <x:v>130769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12.4</x:v>
      </x:c>
      <x:c r="G5" t="n">
        <x:v>8.9</x:v>
      </x:c>
      <x:c r="H5" t="n">
        <x:v>150126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Electronics</x:v>
      </x:c>
      <x:c r="E2" t="n">
        <x:v>2635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Electronics</x:v>
      </x:c>
      <x:c r="E3" t="n">
        <x:v>2999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Electronics</x:v>
      </x:c>
      <x:c r="E4" t="n">
        <x:v>3025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Electronics</x:v>
      </x:c>
      <x:c r="E5" t="n">
        <x:v>2816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7.55</x:v>
      </x:c>
      <x:c r="C2" t="n">
        <x:v>100.05</x:v>
      </x:c>
      <x:c r="D2" t="n">
        <x:v>87.18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8.15</x:v>
      </x:c>
      <x:c r="C3" t="n">
        <x:v>99.71</x:v>
      </x:c>
      <x:c r="D3" t="n">
        <x:v>86.05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8.37</x:v>
      </x:c>
      <x:c r="C4" t="n">
        <x:v>100.08</x:v>
      </x:c>
      <x:c r="D4" t="n">
        <x:v>85.79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8.45</x:v>
      </x:c>
      <x:c r="C5" t="n">
        <x:v>101.24</x:v>
      </x:c>
      <x:c r="D5" t="n">
        <x:v>86.01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8.55</x:v>
      </x:c>
      <x:c r="C6" t="n">
        <x:v>100.83</x:v>
      </x:c>
      <x:c r="D6" t="n">
        <x:v>85.72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8.85</x:v>
      </x:c>
      <x:c r="C7" t="n">
        <x:v>100.65</x:v>
      </x:c>
      <x:c r="D7" t="n">
        <x:v>85.16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8.57</x:v>
      </x:c>
      <x:c r="C8" t="n">
        <x:v>102.8</x:v>
      </x:c>
      <x:c r="D8" t="n">
        <x:v>86.28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8.67</x:v>
      </x:c>
      <x:c r="C9" t="n">
        <x:v>101.25</x:v>
      </x:c>
      <x:c r="D9" t="n">
        <x:v>85.64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7.88</x:v>
      </x:c>
      <x:c r="C10" t="n">
        <x:v>101.93</x:v>
      </x:c>
      <x:c r="D10" t="n">
        <x:v>87.19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7.93</x:v>
      </x:c>
      <x:c r="C11" t="n">
        <x:v>103.46</x:v>
      </x:c>
      <x:c r="D11" t="n">
        <x:v>87.56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7.5</x:v>
      </x:c>
      <x:c r="C12" t="n">
        <x:v>102.74</x:v>
      </x:c>
      <x:c r="D12" t="n">
        <x:v>88.07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6.69</x:v>
      </x:c>
      <x:c r="C13" t="n">
        <x:v>103.97</x:v>
      </x:c>
      <x:c r="D13" t="n">
        <x:v>89.81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6.71</x:v>
      </x:c>
      <x:c r="C14" t="n">
        <x:v>103.82</x:v>
      </x:c>
      <x:c r="D14" t="n">
        <x:v>89.73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6.68</x:v>
      </x:c>
      <x:c r="C15" t="n">
        <x:v>104.21</x:v>
      </x:c>
      <x:c r="D15" t="n">
        <x:v>89.91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6.01</x:v>
      </x:c>
      <x:c r="C16" t="n">
        <x:v>104.83</x:v>
      </x:c>
      <x:c r="D16" t="n">
        <x:v>91.24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6.23</x:v>
      </x:c>
      <x:c r="C17" t="n">
        <x:v>104.83</x:v>
      </x:c>
      <x:c r="D17" t="n">
        <x:v>90.86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6.79</x:v>
      </x:c>
      <x:c r="C18" t="n">
        <x:v>104.07</x:v>
      </x:c>
      <x:c r="D18" t="n">
        <x:v>89.68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6.58</x:v>
      </x:c>
      <x:c r="C19" t="n">
        <x:v>104.31</x:v>
      </x:c>
      <x:c r="D19" t="n">
        <x:v>90.12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7</x:v>
      </x:c>
      <x:c r="F2" t="n">
        <x:v>6</x:v>
      </x:c>
      <x:c r="G2" t="n">
        <x:v>3</x:v>
      </x:c>
      <x:c r="H2" t="n">
        <x:v>22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6</x:v>
      </x:c>
      <x:c r="E3" t="n">
        <x:v>8</x:v>
      </x:c>
      <x:c r="F3" t="n">
        <x:v>7</x:v>
      </x:c>
      <x:c r="G3" t="n">
        <x:v>2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12</x:v>
      </x:c>
      <x:c r="F4" t="n">
        <x:v>6</x:v>
      </x:c>
      <x:c r="G4" t="n">
        <x:v>1</x:v>
      </x:c>
      <x:c r="H4" t="n">
        <x:v>23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11</x:v>
      </x:c>
      <x:c r="F5" t="n">
        <x:v>6</x:v>
      </x:c>
      <x:c r="G5" t="n">
        <x:v>1</x:v>
      </x:c>
      <x:c r="H5" t="n">
        <x:v>20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630</x:v>
      </x:c>
      <x:c r="C2" t="n">
        <x:v>711</x:v>
      </x:c>
      <x:c r="D2" t="n">
        <x:f>C2-B2</x:f>
        <x:v>81</x:v>
      </x:c>
      <x:c r="E2" t="n">
        <x:f>ABS(D2)</x:f>
        <x:v>81</x:v>
      </x:c>
      <x:c r="F2" s="22" t="n">
        <x:f>IFERROR(E2/C2,0)</x:f>
        <x:v>0.11392405063291139</x:v>
      </x:c>
      <x:c r="G2" t="str">
        <x:v>Formula columns should calculate error and accuracy</x:v>
      </x:c>
    </x:row>
    <x:row r="3">
      <x:c r="A3" t="n">
        <x:v>45505</x:v>
      </x:c>
      <x:c r="B3" t="n">
        <x:v>734</x:v>
      </x:c>
      <x:c r="C3" t="n">
        <x:v>679</x:v>
      </x:c>
      <x:c r="D3" t="n">
        <x:f>C3-B3</x:f>
        <x:v>-55</x:v>
      </x:c>
      <x:c r="E3" t="n">
        <x:f>ABS(D3)</x:f>
        <x:v>55</x:v>
      </x:c>
      <x:c r="F3" s="22" t="n">
        <x:f>IFERROR(E3/C3,0)</x:f>
        <x:v>0.08100147275405008</x:v>
      </x:c>
      <x:c r="G3" t="str">
        <x:v>Formula columns should calculate error and accuracy</x:v>
      </x:c>
    </x:row>
    <x:row r="4">
      <x:c r="A4" t="n">
        <x:v>45536</x:v>
      </x:c>
      <x:c r="B4" t="n">
        <x:v>763</x:v>
      </x:c>
      <x:c r="C4" t="n">
        <x:v>794</x:v>
      </x:c>
      <x:c r="D4" t="n">
        <x:f>C4-B4</x:f>
        <x:v>31</x:v>
      </x:c>
      <x:c r="E4" t="n">
        <x:f>ABS(D4)</x:f>
        <x:v>31</x:v>
      </x:c>
      <x:c r="F4" s="22" t="n">
        <x:f>IFERROR(E4/C4,0)</x:f>
        <x:v>0.03904282115869018</x:v>
      </x:c>
      <x:c r="G4" t="str">
        <x:v>Formula columns should calculate error and accuracy</x:v>
      </x:c>
    </x:row>
    <x:row r="5">
      <x:c r="A5" t="n">
        <x:v>45566</x:v>
      </x:c>
      <x:c r="B5" t="n">
        <x:v>731</x:v>
      </x:c>
      <x:c r="C5" t="n">
        <x:v>602</x:v>
      </x:c>
      <x:c r="D5" t="n">
        <x:f>C5-B5</x:f>
        <x:v>-129</x:v>
      </x:c>
      <x:c r="E5" t="n">
        <x:f>ABS(D5)</x:f>
        <x:v>129</x:v>
      </x:c>
      <x:c r="F5" s="22" t="n">
        <x:f>IFERROR(E5/C5,0)</x:f>
        <x:v>0.21428571428571427</x:v>
      </x:c>
      <x:c r="G5" t="str">
        <x:v>Formula columns should calculate error and accuracy</x:v>
      </x:c>
    </x:row>
    <x:row r="6">
      <x:c r="A6" t="n">
        <x:v>45597</x:v>
      </x:c>
      <x:c r="B6" t="n">
        <x:v>692</x:v>
      </x:c>
      <x:c r="C6" t="n">
        <x:v>812</x:v>
      </x:c>
      <x:c r="D6" t="n">
        <x:f>C6-B6</x:f>
        <x:v>120</x:v>
      </x:c>
      <x:c r="E6" t="n">
        <x:f>ABS(D6)</x:f>
        <x:v>120</x:v>
      </x:c>
      <x:c r="F6" s="22" t="n">
        <x:f>IFERROR(E6/C6,0)</x:f>
        <x:v>0.1477832512315271</x:v>
      </x:c>
      <x:c r="G6" t="str">
        <x:v>Formula columns should calculate error and accuracy</x:v>
      </x:c>
    </x:row>
    <x:row r="7">
      <x:c r="A7" t="n">
        <x:v>45627</x:v>
      </x:c>
      <x:c r="B7" t="n">
        <x:v>832</x:v>
      </x:c>
      <x:c r="C7" t="n">
        <x:v>864</x:v>
      </x:c>
      <x:c r="D7" t="n">
        <x:f>C7-B7</x:f>
        <x:v>32</x:v>
      </x:c>
      <x:c r="E7" t="n">
        <x:f>ABS(D7)</x:f>
        <x:v>32</x:v>
      </x:c>
      <x:c r="F7" s="22" t="n">
        <x:f>IFERROR(E7/C7,0)</x:f>
        <x:v>0.037037037037037035</x:v>
      </x:c>
      <x:c r="G7" t="str">
        <x:v>Formula columns should calculate error and accuracy</x:v>
      </x:c>
    </x:row>
    <x:row r="8">
      <x:c r="A8" t="n">
        <x:v>45658</x:v>
      </x:c>
      <x:c r="B8" t="n">
        <x:v>836</x:v>
      </x:c>
      <x:c r="C8" t="n">
        <x:v>880</x:v>
      </x:c>
      <x:c r="D8" t="n">
        <x:f>C8-B8</x:f>
        <x:v>44</x:v>
      </x:c>
      <x:c r="E8" t="n">
        <x:f>ABS(D8)</x:f>
        <x:v>44</x:v>
      </x:c>
      <x:c r="F8" s="22" t="n">
        <x:f>IFERROR(E8/C8,0)</x:f>
        <x:v>0.05</x:v>
      </x:c>
      <x:c r="G8" t="str">
        <x:v>Formula columns should calculate error and accuracy</x:v>
      </x:c>
    </x:row>
    <x:row r="9">
      <x:c r="A9" t="n">
        <x:v>45689</x:v>
      </x:c>
      <x:c r="B9" t="n">
        <x:v>742</x:v>
      </x:c>
      <x:c r="C9" t="n">
        <x:v>646</x:v>
      </x:c>
      <x:c r="D9" t="n">
        <x:f>C9-B9</x:f>
        <x:v>-96</x:v>
      </x:c>
      <x:c r="E9" t="n">
        <x:f>ABS(D9)</x:f>
        <x:v>96</x:v>
      </x:c>
      <x:c r="F9" s="22" t="n">
        <x:f>IFERROR(E9/C9,0)</x:f>
        <x:v>0.14860681114551083</x:v>
      </x:c>
      <x:c r="G9" t="str">
        <x:v>Formula columns should calculate error and accuracy</x:v>
      </x:c>
    </x:row>
    <x:row r="10">
      <x:c r="A10" t="n">
        <x:v>45717</x:v>
      </x:c>
      <x:c r="B10" t="n">
        <x:v>781</x:v>
      </x:c>
      <x:c r="C10" t="n">
        <x:v>921</x:v>
      </x:c>
      <x:c r="D10" t="n">
        <x:f>C10-B10</x:f>
        <x:v>140</x:v>
      </x:c>
      <x:c r="E10" t="n">
        <x:f>ABS(D10)</x:f>
        <x:v>140</x:v>
      </x:c>
      <x:c r="F10" s="22" t="n">
        <x:f>IFERROR(E10/C10,0)</x:f>
        <x:v>0.15200868621064062</x:v>
      </x:c>
      <x:c r="G10" t="str">
        <x:v>Formula columns should calculate error and accuracy</x:v>
      </x:c>
    </x:row>
    <x:row r="11">
      <x:c r="A11" t="n">
        <x:v>45748</x:v>
      </x:c>
      <x:c r="B11" t="n">
        <x:v>875</x:v>
      </x:c>
      <x:c r="C11" t="n">
        <x:v>1019</x:v>
      </x:c>
      <x:c r="D11" t="n">
        <x:f>C11-B11</x:f>
        <x:v>144</x:v>
      </x:c>
      <x:c r="E11" t="n">
        <x:f>ABS(D11)</x:f>
        <x:v>144</x:v>
      </x:c>
      <x:c r="F11" s="22" t="n">
        <x:f>IFERROR(E11/C11,0)</x:f>
        <x:v>0.14131501472031405</x:v>
      </x:c>
      <x:c r="G11" t="str">
        <x:v>Formula columns should calculate error and accuracy</x:v>
      </x:c>
    </x:row>
    <x:row r="12">
      <x:c r="A12" t="n">
        <x:v>45778</x:v>
      </x:c>
      <x:c r="B12" t="n">
        <x:v>907</x:v>
      </x:c>
      <x:c r="C12" t="n">
        <x:v>820</x:v>
      </x:c>
      <x:c r="D12" t="n">
        <x:f>C12-B12</x:f>
        <x:v>-87</x:v>
      </x:c>
      <x:c r="E12" t="n">
        <x:f>ABS(D12)</x:f>
        <x:v>87</x:v>
      </x:c>
      <x:c r="F12" s="22" t="n">
        <x:f>IFERROR(E12/C12,0)</x:f>
        <x:v>0.10609756097560975</x:v>
      </x:c>
      <x:c r="G12" t="str">
        <x:v>Formula columns should calculate error and accuracy</x:v>
      </x:c>
    </x:row>
    <x:row r="13">
      <x:c r="A13" t="n">
        <x:v>45809</x:v>
      </x:c>
      <x:c r="B13" t="n">
        <x:v>811</x:v>
      </x:c>
      <x:c r="C13" t="n">
        <x:v>698</x:v>
      </x:c>
      <x:c r="D13" t="n">
        <x:f>C13-B13</x:f>
        <x:v>-113</x:v>
      </x:c>
      <x:c r="E13" t="n">
        <x:f>ABS(D13)</x:f>
        <x:v>113</x:v>
      </x:c>
      <x:c r="F13" s="22" t="n">
        <x:f>IFERROR(E13/C13,0)</x:f>
        <x:v>0.16189111747851004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100</x:v>
      </x:c>
      <x:c r="E2" t="n">
        <x:v>721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71</x:v>
      </x:c>
      <x:c r="E3" t="n">
        <x:v>615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92</x:v>
      </x:c>
      <x:c r="E4" t="n">
        <x:v>533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60</x:v>
      </x:c>
      <x:c r="E5" t="n">
        <x:v>497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56</x:v>
      </x:c>
      <x:c r="E6" t="n">
        <x:v>467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46</x:v>
      </x:c>
      <x:c r="E7" t="n">
        <x:v>270</x:v>
      </x:c>
      <x:c r="F7" t="str">
        <x:v>Low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66</x:v>
      </x:c>
      <x:c r="E8" t="n">
        <x:v>527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71</x:v>
      </x:c>
      <x:c r="E9" t="n">
        <x:v>572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5</x:v>
      </x:c>
      <x:c r="F2" t="n">
        <x:v>12985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7</x:v>
      </x:c>
      <x:c r="F3" t="n">
        <x:v>26863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Festival-based</x:v>
      </x:c>
      <x:c r="E4" t="n">
        <x:v>4</x:v>
      </x:c>
      <x:c r="F4" t="n">
        <x:v>10669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6</x:v>
      </x:c>
      <x:c r="F5" t="n">
        <x:v>17106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4</x:v>
      </x:c>
      <x:c r="F6" t="n">
        <x:v>9445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99</x:v>
      </x:c>
      <x:c r="F2" t="n">
        <x:v>87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104</x:v>
      </x:c>
      <x:c r="F3" t="n">
        <x:v>78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18</x:v>
      </x:c>
      <x:c r="F4" t="n">
        <x:v>94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13</x:v>
      </x:c>
      <x:c r="F5" t="n">
        <x:v>71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Wireless Earbuds Realme Electronics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Wireless Earbuds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Electronics competitor pricing promotions Bangladesh Realme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Wireless Earbuds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80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76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72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81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