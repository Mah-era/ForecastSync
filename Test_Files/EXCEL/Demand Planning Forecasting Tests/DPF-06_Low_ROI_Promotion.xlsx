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6d46dc051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ea152015cdd04070"/>
    <x:sheet xmlns:r="http://schemas.openxmlformats.org/officeDocument/2006/relationships" name="Historical_Sales" sheetId="2" r:id="Rafece811dfed4961"/>
    <x:sheet xmlns:r="http://schemas.openxmlformats.org/officeDocument/2006/relationships" name="Inventory" sheetId="3" r:id="R5ac6d4ea0d3a47d1"/>
    <x:sheet xmlns:r="http://schemas.openxmlformats.org/officeDocument/2006/relationships" name="Promotions" sheetId="4" r:id="Rd556093a83924e90"/>
    <x:sheet xmlns:r="http://schemas.openxmlformats.org/officeDocument/2006/relationships" name="Competitors" sheetId="5" r:id="Rfe99b04b3a294992"/>
    <x:sheet xmlns:r="http://schemas.openxmlformats.org/officeDocument/2006/relationships" name="Economic" sheetId="6" r:id="R845310ac6c9842a6"/>
    <x:sheet xmlns:r="http://schemas.openxmlformats.org/officeDocument/2006/relationships" name="Lead_Time" sheetId="7" r:id="Ra85ce3f2941748f6"/>
    <x:sheet xmlns:r="http://schemas.openxmlformats.org/officeDocument/2006/relationships" name="Forecast_Actual" sheetId="8" r:id="R779ea7eb715f4d4e"/>
    <x:sheet xmlns:r="http://schemas.openxmlformats.org/officeDocument/2006/relationships" name="Regional_Demand_Map" sheetId="9" r:id="R8a7d5bc6244842a8"/>
    <x:sheet xmlns:r="http://schemas.openxmlformats.org/officeDocument/2006/relationships" name="SCM_Flow_Map" sheetId="10" r:id="Rd49e1052750f4821"/>
    <x:sheet xmlns:r="http://schemas.openxmlformats.org/officeDocument/2006/relationships" name="Customer_Patterns" sheetId="11" r:id="Ra552e373a33f4309"/>
    <x:sheet xmlns:r="http://schemas.openxmlformats.org/officeDocument/2006/relationships" name="Technology_Data" sheetId="12" r:id="Raf55ccb779354c28"/>
    <x:sheet xmlns:r="http://schemas.openxmlformats.org/officeDocument/2006/relationships" name="Web_Search_Seeds" sheetId="13" r:id="R7bb94c720089466b"/>
    <x:sheet xmlns:r="http://schemas.openxmlformats.org/officeDocument/2006/relationships" name="Manual_Expert_Opinion" sheetId="14" r:id="R20307f855f8e4078"/>
    <x:sheet xmlns:r="http://schemas.openxmlformats.org/officeDocument/2006/relationships" name="Data_Issues" sheetId="15" r:id="Rcf29312be4c6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8ae97c0ce48dc" /><Relationship Type="http://schemas.openxmlformats.org/officeDocument/2006/relationships/theme" Target="/xl/theme/theme1.xml" Id="Rfcf7fadf81714163" /><Relationship Type="http://schemas.openxmlformats.org/officeDocument/2006/relationships/sharedStrings" Target="/xl/sharedStrings.xml" Id="R9011939cbd944830" /><Relationship Type="http://schemas.openxmlformats.org/officeDocument/2006/relationships/worksheet" Target="/xl/worksheets/sheet1.xml" Id="Rea152015cdd04070" /><Relationship Type="http://schemas.openxmlformats.org/officeDocument/2006/relationships/worksheet" Target="/xl/worksheets/sheet2.xml" Id="Rafece811dfed4961" /><Relationship Type="http://schemas.openxmlformats.org/officeDocument/2006/relationships/worksheet" Target="/xl/worksheets/sheet3.xml" Id="R5ac6d4ea0d3a47d1" /><Relationship Type="http://schemas.openxmlformats.org/officeDocument/2006/relationships/worksheet" Target="/xl/worksheets/sheet4.xml" Id="Rd556093a83924e90" /><Relationship Type="http://schemas.openxmlformats.org/officeDocument/2006/relationships/worksheet" Target="/xl/worksheets/sheet5.xml" Id="Rfe99b04b3a294992" /><Relationship Type="http://schemas.openxmlformats.org/officeDocument/2006/relationships/worksheet" Target="/xl/worksheets/sheet6.xml" Id="R845310ac6c9842a6" /><Relationship Type="http://schemas.openxmlformats.org/officeDocument/2006/relationships/worksheet" Target="/xl/worksheets/sheet7.xml" Id="Ra85ce3f2941748f6" /><Relationship Type="http://schemas.openxmlformats.org/officeDocument/2006/relationships/worksheet" Target="/xl/worksheets/sheet8.xml" Id="R779ea7eb715f4d4e" /><Relationship Type="http://schemas.openxmlformats.org/officeDocument/2006/relationships/worksheet" Target="/xl/worksheets/sheet9.xml" Id="R8a7d5bc6244842a8" /><Relationship Type="http://schemas.openxmlformats.org/officeDocument/2006/relationships/worksheet" Target="/xl/worksheets/sheet10.xml" Id="Rd49e1052750f4821" /><Relationship Type="http://schemas.openxmlformats.org/officeDocument/2006/relationships/worksheet" Target="/xl/worksheets/sheet11.xml" Id="Ra552e373a33f4309" /><Relationship Type="http://schemas.openxmlformats.org/officeDocument/2006/relationships/worksheet" Target="/xl/worksheets/sheet12.xml" Id="Raf55ccb779354c28" /><Relationship Type="http://schemas.openxmlformats.org/officeDocument/2006/relationships/worksheet" Target="/xl/worksheets/sheet13.xml" Id="R7bb94c720089466b" /><Relationship Type="http://schemas.openxmlformats.org/officeDocument/2006/relationships/worksheet" Target="/xl/worksheets/sheet14.xml" Id="R20307f855f8e4078" /><Relationship Type="http://schemas.openxmlformats.org/officeDocument/2006/relationships/worksheet" Target="/xl/worksheets/sheet15.xml" Id="Rcf29312be4c647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DPF-06</x:v>
      </x:c>
    </x:row>
    <x:row r="3">
      <x:c r="A3" t="str">
        <x:v>Scenario Title</x:v>
      </x:c>
      <x:c r="B3" t="str">
        <x:v>Low ROI Promotion</x:v>
      </x:c>
    </x:row>
    <x:row r="4">
      <x:c r="A4" t="str">
        <x:v>Purpose</x:v>
      </x:c>
      <x:c r="B4" t="str">
        <x:v>Test discount campaign that does not drive enough demand.</x:v>
      </x:c>
    </x:row>
    <x:row r="5">
      <x:c r="A5" t="str">
        <x:v>Product Name</x:v>
      </x:c>
      <x:c r="B5" t="str">
        <x:v>Face Wash</x:v>
      </x:c>
    </x:row>
    <x:row r="6">
      <x:c r="A6" t="str">
        <x:v>Category</x:v>
      </x:c>
      <x:c r="B6" t="str">
        <x:v>Skin Care</x:v>
      </x:c>
    </x:row>
    <x:row r="7">
      <x:c r="A7" t="str">
        <x:v>Brand</x:v>
      </x:c>
      <x:c r="B7" t="str">
        <x:v>Garnier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Promotions, Forecast Accuracy</x:v>
      </x:c>
    </x:row>
    <x:row r="11">
      <x:c r="A11" t="str">
        <x:v>Recommended Inputs To Tick</x:v>
      </x:c>
      <x:c r="B11" t="str">
        <x:v>Promotions &amp; Discounts, Historical Sales Data</x:v>
      </x:c>
    </x:row>
    <x:row r="12">
      <x:c r="A12" t="str">
        <x:v>Recommended Outputs To Tick</x:v>
      </x:c>
      <x:c r="B12" t="str">
        <x:v>Promotion Impact Analysis, Final SCM Recommendation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Face Wash</x:v>
      </x:c>
      <x:c r="C2" t="str">
        <x:v>Skin Care</x:v>
      </x:c>
      <x:c r="D2" t="str">
        <x:v>Garnier</x:v>
      </x:c>
      <x:c r="E2" t="str">
        <x:v>Dhaka</x:v>
      </x:c>
      <x:c r="F2" t="str">
        <x:v>Retail</x:v>
      </x:c>
      <x:c r="G2" t="n">
        <x:v>1224</x:v>
      </x:c>
      <x:c r="H2" t="n">
        <x:v>380</x:v>
      </x:c>
      <x:c r="I2" t="n">
        <x:v>465120</x:v>
      </x:c>
      <x:c r="J2" t="str"/>
    </x:row>
    <x:row r="3">
      <x:c r="A3" t="n">
        <x:v>45323</x:v>
      </x:c>
      <x:c r="B3" t="str">
        <x:v>Face Wash</x:v>
      </x:c>
      <x:c r="C3" t="str">
        <x:v>Skin Care</x:v>
      </x:c>
      <x:c r="D3" t="str">
        <x:v>Garnier</x:v>
      </x:c>
      <x:c r="E3" t="str">
        <x:v>Chattogram</x:v>
      </x:c>
      <x:c r="F3" t="str">
        <x:v>Online</x:v>
      </x:c>
      <x:c r="G3" t="n">
        <x:v>1324</x:v>
      </x:c>
      <x:c r="H3" t="n">
        <x:v>380</x:v>
      </x:c>
      <x:c r="I3" t="n">
        <x:v>503120</x:v>
      </x:c>
      <x:c r="J3" t="str"/>
    </x:row>
    <x:row r="4">
      <x:c r="A4" t="n">
        <x:v>45352</x:v>
      </x:c>
      <x:c r="B4" t="str">
        <x:v>Face Wash</x:v>
      </x:c>
      <x:c r="C4" t="str">
        <x:v>Skin Care</x:v>
      </x:c>
      <x:c r="D4" t="str">
        <x:v>Garnier</x:v>
      </x:c>
      <x:c r="E4" t="str">
        <x:v>Sylhet</x:v>
      </x:c>
      <x:c r="F4" t="str">
        <x:v>Wholesale</x:v>
      </x:c>
      <x:c r="G4" t="n">
        <x:v>1189</x:v>
      </x:c>
      <x:c r="H4" t="n">
        <x:v>380</x:v>
      </x:c>
      <x:c r="I4" t="n">
        <x:v>451820</x:v>
      </x:c>
      <x:c r="J4" t="str"/>
    </x:row>
    <x:row r="5">
      <x:c r="A5" t="n">
        <x:v>45383</x:v>
      </x:c>
      <x:c r="B5" t="str">
        <x:v>Face Wash</x:v>
      </x:c>
      <x:c r="C5" t="str">
        <x:v>Skin Care</x:v>
      </x:c>
      <x:c r="D5" t="str">
        <x:v>Garnier</x:v>
      </x:c>
      <x:c r="E5" t="str">
        <x:v>Rajshahi</x:v>
      </x:c>
      <x:c r="F5" t="str">
        <x:v>Modern Trade</x:v>
      </x:c>
      <x:c r="G5" t="n">
        <x:v>1204</x:v>
      </x:c>
      <x:c r="H5" t="n">
        <x:v>380</x:v>
      </x:c>
      <x:c r="I5" t="n">
        <x:v>457520</x:v>
      </x:c>
      <x:c r="J5" t="str"/>
    </x:row>
    <x:row r="6">
      <x:c r="A6" t="n">
        <x:v>45413</x:v>
      </x:c>
      <x:c r="B6" t="str">
        <x:v>Face Wash</x:v>
      </x:c>
      <x:c r="C6" t="str">
        <x:v>Skin Care</x:v>
      </x:c>
      <x:c r="D6" t="str">
        <x:v>Garnier</x:v>
      </x:c>
      <x:c r="E6" t="str">
        <x:v>Khulna</x:v>
      </x:c>
      <x:c r="F6" t="str">
        <x:v>Retail</x:v>
      </x:c>
      <x:c r="G6" t="n">
        <x:v>1360</x:v>
      </x:c>
      <x:c r="H6" t="n">
        <x:v>380</x:v>
      </x:c>
      <x:c r="I6" t="n">
        <x:v>516800</x:v>
      </x:c>
      <x:c r="J6" t="str"/>
    </x:row>
    <x:row r="7">
      <x:c r="A7" t="n">
        <x:v>45444</x:v>
      </x:c>
      <x:c r="B7" t="str">
        <x:v>Face Wash</x:v>
      </x:c>
      <x:c r="C7" t="str">
        <x:v>Skin Care</x:v>
      </x:c>
      <x:c r="D7" t="str">
        <x:v>Garnier</x:v>
      </x:c>
      <x:c r="E7" t="str">
        <x:v>Barishal</x:v>
      </x:c>
      <x:c r="F7" t="str">
        <x:v>Online</x:v>
      </x:c>
      <x:c r="G7" t="n">
        <x:v>1306</x:v>
      </x:c>
      <x:c r="H7" t="n">
        <x:v>380</x:v>
      </x:c>
      <x:c r="I7" t="n">
        <x:v>496280</x:v>
      </x:c>
      <x:c r="J7" t="str"/>
    </x:row>
    <x:row r="8">
      <x:c r="A8" t="n">
        <x:v>45474</x:v>
      </x:c>
      <x:c r="B8" t="str">
        <x:v>Face Wash</x:v>
      </x:c>
      <x:c r="C8" t="str">
        <x:v>Skin Care</x:v>
      </x:c>
      <x:c r="D8" t="str">
        <x:v>Garnier</x:v>
      </x:c>
      <x:c r="E8" t="str">
        <x:v>Rangpur</x:v>
      </x:c>
      <x:c r="F8" t="str">
        <x:v>Wholesale</x:v>
      </x:c>
      <x:c r="G8" t="n">
        <x:v>1422</x:v>
      </x:c>
      <x:c r="H8" t="n">
        <x:v>380</x:v>
      </x:c>
      <x:c r="I8" t="n">
        <x:v>540360</x:v>
      </x:c>
      <x:c r="J8" t="str"/>
    </x:row>
    <x:row r="9">
      <x:c r="A9" t="n">
        <x:v>45505</x:v>
      </x:c>
      <x:c r="B9" t="str">
        <x:v>Face Wash</x:v>
      </x:c>
      <x:c r="C9" t="str">
        <x:v>Skin Care</x:v>
      </x:c>
      <x:c r="D9" t="str">
        <x:v>Garnier</x:v>
      </x:c>
      <x:c r="E9" t="str">
        <x:v>Mymensingh</x:v>
      </x:c>
      <x:c r="F9" t="str">
        <x:v>Modern Trade</x:v>
      </x:c>
      <x:c r="G9" t="n">
        <x:v>1380</x:v>
      </x:c>
      <x:c r="H9" t="n">
        <x:v>380</x:v>
      </x:c>
      <x:c r="I9" t="n">
        <x:v>524400</x:v>
      </x:c>
      <x:c r="J9" t="str"/>
    </x:row>
    <x:row r="10">
      <x:c r="A10" t="n">
        <x:v>45536</x:v>
      </x:c>
      <x:c r="B10" t="str">
        <x:v>Face Wash</x:v>
      </x:c>
      <x:c r="C10" t="str">
        <x:v>Skin Care</x:v>
      </x:c>
      <x:c r="D10" t="str">
        <x:v>Garnier</x:v>
      </x:c>
      <x:c r="E10" t="str">
        <x:v>Dhaka</x:v>
      </x:c>
      <x:c r="F10" t="str">
        <x:v>Retail</x:v>
      </x:c>
      <x:c r="G10" t="n">
        <x:v>1428</x:v>
      </x:c>
      <x:c r="H10" t="n">
        <x:v>380</x:v>
      </x:c>
      <x:c r="I10" t="n">
        <x:v>542640</x:v>
      </x:c>
      <x:c r="J10" t="str"/>
    </x:row>
    <x:row r="11">
      <x:c r="A11" t="n">
        <x:v>45566</x:v>
      </x:c>
      <x:c r="B11" t="str">
        <x:v>Face Wash</x:v>
      </x:c>
      <x:c r="C11" t="str">
        <x:v>Skin Care</x:v>
      </x:c>
      <x:c r="D11" t="str">
        <x:v>Garnier</x:v>
      </x:c>
      <x:c r="E11" t="str">
        <x:v>Chattogram</x:v>
      </x:c>
      <x:c r="F11" t="str">
        <x:v>Online</x:v>
      </x:c>
      <x:c r="G11" t="n">
        <x:v>1328</x:v>
      </x:c>
      <x:c r="H11" t="n">
        <x:v>380</x:v>
      </x:c>
      <x:c r="I11" t="n">
        <x:v>504640</x:v>
      </x:c>
      <x:c r="J11" t="str"/>
    </x:row>
    <x:row r="12">
      <x:c r="A12" t="n">
        <x:v>45597</x:v>
      </x:c>
      <x:c r="B12" t="str">
        <x:v>Face Wash</x:v>
      </x:c>
      <x:c r="C12" t="str">
        <x:v>Skin Care</x:v>
      </x:c>
      <x:c r="D12" t="str">
        <x:v>Garnier</x:v>
      </x:c>
      <x:c r="E12" t="str">
        <x:v>Sylhet</x:v>
      </x:c>
      <x:c r="F12" t="str">
        <x:v>Wholesale</x:v>
      </x:c>
      <x:c r="G12" t="n">
        <x:v>1485</x:v>
      </x:c>
      <x:c r="H12" t="n">
        <x:v>380</x:v>
      </x:c>
      <x:c r="I12" t="n">
        <x:v>564300</x:v>
      </x:c>
      <x:c r="J12" t="str"/>
    </x:row>
    <x:row r="13">
      <x:c r="A13" t="n">
        <x:v>45627</x:v>
      </x:c>
      <x:c r="B13" t="str">
        <x:v>Face Wash</x:v>
      </x:c>
      <x:c r="C13" t="str">
        <x:v>Skin Care</x:v>
      </x:c>
      <x:c r="D13" t="str">
        <x:v>Garnier</x:v>
      </x:c>
      <x:c r="E13" t="str">
        <x:v>Rajshahi</x:v>
      </x:c>
      <x:c r="F13" t="str">
        <x:v>Modern Trade</x:v>
      </x:c>
      <x:c r="G13" t="n">
        <x:v>1442</x:v>
      </x:c>
      <x:c r="H13" t="n">
        <x:v>380</x:v>
      </x:c>
      <x:c r="I13" t="n">
        <x:v>547960</x:v>
      </x:c>
      <x:c r="J13" t="str"/>
    </x:row>
    <x:row r="14">
      <x:c r="A14" t="n">
        <x:v>45658</x:v>
      </x:c>
      <x:c r="B14" t="str">
        <x:v>Face Wash</x:v>
      </x:c>
      <x:c r="C14" t="str">
        <x:v>Skin Care</x:v>
      </x:c>
      <x:c r="D14" t="str">
        <x:v>Garnier</x:v>
      </x:c>
      <x:c r="E14" t="str">
        <x:v>Khulna</x:v>
      </x:c>
      <x:c r="F14" t="str">
        <x:v>Retail</x:v>
      </x:c>
      <x:c r="G14" t="n">
        <x:v>1534</x:v>
      </x:c>
      <x:c r="H14" t="n">
        <x:v>380</x:v>
      </x:c>
      <x:c r="I14" t="n">
        <x:v>582920</x:v>
      </x:c>
      <x:c r="J14" t="str"/>
    </x:row>
    <x:row r="15">
      <x:c r="A15" t="n">
        <x:v>45689</x:v>
      </x:c>
      <x:c r="B15" t="str">
        <x:v>Face Wash</x:v>
      </x:c>
      <x:c r="C15" t="str">
        <x:v>Skin Care</x:v>
      </x:c>
      <x:c r="D15" t="str">
        <x:v>Garnier</x:v>
      </x:c>
      <x:c r="E15" t="str">
        <x:v>Barishal</x:v>
      </x:c>
      <x:c r="F15" t="str">
        <x:v>Online</x:v>
      </x:c>
      <x:c r="G15" t="n">
        <x:v>1637</x:v>
      </x:c>
      <x:c r="H15" t="n">
        <x:v>380</x:v>
      </x:c>
      <x:c r="I15" t="n">
        <x:v>622060</x:v>
      </x:c>
      <x:c r="J15" t="str"/>
    </x:row>
    <x:row r="16">
      <x:c r="A16" t="n">
        <x:v>45717</x:v>
      </x:c>
      <x:c r="B16" t="str">
        <x:v>Face Wash</x:v>
      </x:c>
      <x:c r="C16" t="str">
        <x:v>Skin Care</x:v>
      </x:c>
      <x:c r="D16" t="str">
        <x:v>Garnier</x:v>
      </x:c>
      <x:c r="E16" t="str">
        <x:v>Rangpur</x:v>
      </x:c>
      <x:c r="F16" t="str">
        <x:v>Wholesale</x:v>
      </x:c>
      <x:c r="G16" t="n">
        <x:v>1500</x:v>
      </x:c>
      <x:c r="H16" t="n">
        <x:v>380</x:v>
      </x:c>
      <x:c r="I16" t="n">
        <x:v>570000</x:v>
      </x:c>
      <x:c r="J16" t="str"/>
    </x:row>
    <x:row r="17">
      <x:c r="A17" t="n">
        <x:v>45748</x:v>
      </x:c>
      <x:c r="B17" t="str">
        <x:v>Face Wash</x:v>
      </x:c>
      <x:c r="C17" t="str">
        <x:v>Skin Care</x:v>
      </x:c>
      <x:c r="D17" t="str">
        <x:v>Garnier</x:v>
      </x:c>
      <x:c r="E17" t="str">
        <x:v>Mymensingh</x:v>
      </x:c>
      <x:c r="F17" t="str">
        <x:v>Modern Trade</x:v>
      </x:c>
      <x:c r="G17" t="n">
        <x:v>1453</x:v>
      </x:c>
      <x:c r="H17" t="n">
        <x:v>380</x:v>
      </x:c>
      <x:c r="I17" t="n">
        <x:v>552140</x:v>
      </x:c>
      <x:c r="J17" t="str"/>
    </x:row>
    <x:row r="18">
      <x:c r="A18" t="n">
        <x:v>45778</x:v>
      </x:c>
      <x:c r="B18" t="str">
        <x:v>Face Wash</x:v>
      </x:c>
      <x:c r="C18" t="str">
        <x:v>Skin Care</x:v>
      </x:c>
      <x:c r="D18" t="str">
        <x:v>Garnier</x:v>
      </x:c>
      <x:c r="E18" t="str">
        <x:v>Dhaka</x:v>
      </x:c>
      <x:c r="F18" t="str">
        <x:v>Retail</x:v>
      </x:c>
      <x:c r="G18" t="n">
        <x:v>1567</x:v>
      </x:c>
      <x:c r="H18" t="n">
        <x:v>380</x:v>
      </x:c>
      <x:c r="I18" t="n">
        <x:v>595460</x:v>
      </x:c>
      <x:c r="J18" t="str"/>
    </x:row>
    <x:row r="19">
      <x:c r="A19" t="n">
        <x:v>45809</x:v>
      </x:c>
      <x:c r="B19" t="str">
        <x:v>Face Wash</x:v>
      </x:c>
      <x:c r="C19" t="str">
        <x:v>Skin Care</x:v>
      </x:c>
      <x:c r="D19" t="str">
        <x:v>Garnier</x:v>
      </x:c>
      <x:c r="E19" t="str">
        <x:v>Chattogram</x:v>
      </x:c>
      <x:c r="F19" t="str">
        <x:v>Online</x:v>
      </x:c>
      <x:c r="G19" t="n">
        <x:v>1408</x:v>
      </x:c>
      <x:c r="H19" t="n">
        <x:v>380</x:v>
      </x:c>
      <x:c r="I19" t="n">
        <x:v>535040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GAR-DPF-06-01</x:v>
      </x:c>
      <x:c r="B2" t="str">
        <x:v>Face Wash</x:v>
      </x:c>
      <x:c r="C2" t="str">
        <x:v>Skin Care</x:v>
      </x:c>
      <x:c r="D2" t="str">
        <x:v>Garnier</x:v>
      </x:c>
      <x:c r="E2" t="str">
        <x:v>Dhaka</x:v>
      </x:c>
      <x:c r="F2" t="str">
        <x:v>Dhaka DC</x:v>
      </x:c>
      <x:c r="G2" t="n">
        <x:v>3593</x:v>
      </x:c>
      <x:c r="H2" t="n">
        <x:v>712</x:v>
      </x:c>
      <x:c r="I2" t="n">
        <x:v>1368</x:v>
      </x:c>
      <x:c r="J2" t="n">
        <x:v>604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GAR-DPF-06-02</x:v>
      </x:c>
      <x:c r="B3" t="str">
        <x:v>Face Wash</x:v>
      </x:c>
      <x:c r="C3" t="str">
        <x:v>Skin Care</x:v>
      </x:c>
      <x:c r="D3" t="str">
        <x:v>Garnier</x:v>
      </x:c>
      <x:c r="E3" t="str">
        <x:v>Chattogram</x:v>
      </x:c>
      <x:c r="F3" t="str">
        <x:v>Chattogram DC</x:v>
      </x:c>
      <x:c r="G3" t="n">
        <x:v>2860</x:v>
      </x:c>
      <x:c r="H3" t="n">
        <x:v>566</x:v>
      </x:c>
      <x:c r="I3" t="n">
        <x:v>1223</x:v>
      </x:c>
      <x:c r="J3" t="n">
        <x:v>625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GAR-DPF-06-03</x:v>
      </x:c>
      <x:c r="B4" t="str">
        <x:v>Face Wash</x:v>
      </x:c>
      <x:c r="C4" t="str">
        <x:v>Skin Care</x:v>
      </x:c>
      <x:c r="D4" t="str">
        <x:v>Garnier</x:v>
      </x:c>
      <x:c r="E4" t="str">
        <x:v>Sylhet</x:v>
      </x:c>
      <x:c r="F4" t="str">
        <x:v>Sylhet DC</x:v>
      </x:c>
      <x:c r="G4" t="n">
        <x:v>3328</x:v>
      </x:c>
      <x:c r="H4" t="n">
        <x:v>469</x:v>
      </x:c>
      <x:c r="I4" t="n">
        <x:v>1151</x:v>
      </x:c>
      <x:c r="J4" t="n">
        <x:v>272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GAR-DPF-06-04</x:v>
      </x:c>
      <x:c r="B5" t="str">
        <x:v>Face Wash</x:v>
      </x:c>
      <x:c r="C5" t="str">
        <x:v>Skin Care</x:v>
      </x:c>
      <x:c r="D5" t="str">
        <x:v>Garnier</x:v>
      </x:c>
      <x:c r="E5" t="str">
        <x:v>Rajshahi</x:v>
      </x:c>
      <x:c r="F5" t="str">
        <x:v>Rajshahi DC</x:v>
      </x:c>
      <x:c r="G5" t="n">
        <x:v>1726</x:v>
      </x:c>
      <x:c r="H5" t="n">
        <x:v>632</x:v>
      </x:c>
      <x:c r="I5" t="n">
        <x:v>1199</x:v>
      </x:c>
      <x:c r="J5" t="n">
        <x:v>532</x:v>
      </x:c>
      <x:c r="K5" t="n">
        <x:v>120</x:v>
      </x:c>
      <x:c r="L5" t="n">
        <x:v>45675</x:v>
      </x:c>
      <x:c r="M5" t="str">
        <x:v>OK</x:v>
      </x:c>
    </x:row>
    <x:row r="6">
      <x:c r="A6" t="str">
        <x:v>GAR-DPF-06-05</x:v>
      </x:c>
      <x:c r="B6" t="str">
        <x:v>Face Wash</x:v>
      </x:c>
      <x:c r="C6" t="str">
        <x:v>Skin Care</x:v>
      </x:c>
      <x:c r="D6" t="str">
        <x:v>Garnier</x:v>
      </x:c>
      <x:c r="E6" t="str">
        <x:v>Khulna</x:v>
      </x:c>
      <x:c r="F6" t="str">
        <x:v>Khulna DC</x:v>
      </x:c>
      <x:c r="G6" t="n">
        <x:v>2013</x:v>
      </x:c>
      <x:c r="H6" t="n">
        <x:v>442</x:v>
      </x:c>
      <x:c r="I6" t="n">
        <x:v>1279</x:v>
      </x:c>
      <x:c r="J6" t="n">
        <x:v>503</x:v>
      </x:c>
      <x:c r="K6" t="n">
        <x:v>120</x:v>
      </x:c>
      <x:c r="L6" t="n">
        <x:v>45676</x:v>
      </x:c>
      <x:c r="M6" t="str">
        <x:v>OK</x:v>
      </x:c>
    </x:row>
    <x:row r="7">
      <x:c r="A7" t="str">
        <x:v>GAR-DPF-06-06</x:v>
      </x:c>
      <x:c r="B7" t="str">
        <x:v>Face Wash</x:v>
      </x:c>
      <x:c r="C7" t="str">
        <x:v>Skin Care</x:v>
      </x:c>
      <x:c r="D7" t="str">
        <x:v>Garnier</x:v>
      </x:c>
      <x:c r="E7" t="str">
        <x:v>Barishal</x:v>
      </x:c>
      <x:c r="F7" t="str">
        <x:v>Barishal DC</x:v>
      </x:c>
      <x:c r="G7" t="n">
        <x:v>3674</x:v>
      </x:c>
      <x:c r="H7" t="n">
        <x:v>690</x:v>
      </x:c>
      <x:c r="I7" t="n">
        <x:v>1488</x:v>
      </x:c>
      <x:c r="J7" t="n">
        <x:v>533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GAR-DPF-06-07</x:v>
      </x:c>
      <x:c r="B8" t="str">
        <x:v>Face Wash</x:v>
      </x:c>
      <x:c r="C8" t="str">
        <x:v>Skin Care</x:v>
      </x:c>
      <x:c r="D8" t="str">
        <x:v>Garnier</x:v>
      </x:c>
      <x:c r="E8" t="str">
        <x:v>Rangpur</x:v>
      </x:c>
      <x:c r="F8" t="str">
        <x:v>Rangpur DC</x:v>
      </x:c>
      <x:c r="G8" t="n">
        <x:v>3471</x:v>
      </x:c>
      <x:c r="H8" t="n">
        <x:v>653</x:v>
      </x:c>
      <x:c r="I8" t="n">
        <x:v>1287</x:v>
      </x:c>
      <x:c r="J8" t="n">
        <x:v>516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GAR-DPF-06-08</x:v>
      </x:c>
      <x:c r="B9" t="str">
        <x:v>Face Wash</x:v>
      </x:c>
      <x:c r="C9" t="str">
        <x:v>Skin Care</x:v>
      </x:c>
      <x:c r="D9" t="str">
        <x:v>Garnier</x:v>
      </x:c>
      <x:c r="E9" t="str">
        <x:v>Mymensingh</x:v>
      </x:c>
      <x:c r="F9" t="str">
        <x:v>Mymensingh DC</x:v>
      </x:c>
      <x:c r="G9" t="n">
        <x:v>1505</x:v>
      </x:c>
      <x:c r="H9" t="n">
        <x:v>492</x:v>
      </x:c>
      <x:c r="I9" t="n">
        <x:v>1132</x:v>
      </x:c>
      <x:c r="J9" t="n">
        <x:v>491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21.2</x:v>
      </x:c>
      <x:c r="G2" t="n">
        <x:v>22.5</x:v>
      </x:c>
      <x:c r="H2" t="n">
        <x:v>82310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19.7</x:v>
      </x:c>
      <x:c r="G3" t="n">
        <x:v>7.1</x:v>
      </x:c>
      <x:c r="H3" t="n">
        <x:v>73548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26.8</x:v>
      </x:c>
      <x:c r="G4" t="n">
        <x:v>18</x:v>
      </x:c>
      <x:c r="H4" t="n">
        <x:v>102838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11.3</x:v>
      </x:c>
      <x:c r="G5" t="n">
        <x:v>13.5</x:v>
      </x:c>
      <x:c r="H5" t="n">
        <x:v>99405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Skin Care</x:v>
      </x:c>
      <x:c r="E2" t="n">
        <x:v>368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Skin Care</x:v>
      </x:c>
      <x:c r="E3" t="n">
        <x:v>339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Skin Care</x:v>
      </x:c>
      <x:c r="E4" t="n">
        <x:v>419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Skin Care</x:v>
      </x:c>
      <x:c r="E5" t="n">
        <x:v>431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7.42</x:v>
      </x:c>
      <x:c r="C2" t="n">
        <x:v>100</x:v>
      </x:c>
      <x:c r="D2" t="n">
        <x:v>87.39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7.76</x:v>
      </x:c>
      <x:c r="C3" t="n">
        <x:v>99.63</x:v>
      </x:c>
      <x:c r="D3" t="n">
        <x:v>86.7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8.49</x:v>
      </x:c>
      <x:c r="C4" t="n">
        <x:v>101.49</x:v>
      </x:c>
      <x:c r="D4" t="n">
        <x:v>86.01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8.79</x:v>
      </x:c>
      <x:c r="C5" t="n">
        <x:v>100.49</x:v>
      </x:c>
      <x:c r="D5" t="n">
        <x:v>85.2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8.89</x:v>
      </x:c>
      <x:c r="C6" t="n">
        <x:v>101.81</x:v>
      </x:c>
      <x:c r="D6" t="n">
        <x:v>85.43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8.68</x:v>
      </x:c>
      <x:c r="C7" t="n">
        <x:v>100.65</x:v>
      </x:c>
      <x:c r="D7" t="n">
        <x:v>85.45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8.74</x:v>
      </x:c>
      <x:c r="C8" t="n">
        <x:v>101.25</x:v>
      </x:c>
      <x:c r="D8" t="n">
        <x:v>85.51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8.47</x:v>
      </x:c>
      <x:c r="C9" t="n">
        <x:v>102.45</x:v>
      </x:c>
      <x:c r="D9" t="n">
        <x:v>86.33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7.99</x:v>
      </x:c>
      <x:c r="C10" t="n">
        <x:v>103.09</x:v>
      </x:c>
      <x:c r="D10" t="n">
        <x:v>87.35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7.7</x:v>
      </x:c>
      <x:c r="C11" t="n">
        <x:v>101.88</x:v>
      </x:c>
      <x:c r="D11" t="n">
        <x:v>87.47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7.21</x:v>
      </x:c>
      <x:c r="C12" t="n">
        <x:v>102.53</x:v>
      </x:c>
      <x:c r="D12" t="n">
        <x:v>88.5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6.67</x:v>
      </x:c>
      <x:c r="C13" t="n">
        <x:v>103.04</x:v>
      </x:c>
      <x:c r="D13" t="n">
        <x:v>89.57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6.74</x:v>
      </x:c>
      <x:c r="C14" t="n">
        <x:v>103.12</x:v>
      </x:c>
      <x:c r="D14" t="n">
        <x:v>89.48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6.31</x:v>
      </x:c>
      <x:c r="C15" t="n">
        <x:v>104.18</x:v>
      </x:c>
      <x:c r="D15" t="n">
        <x:v>90.52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6.22</x:v>
      </x:c>
      <x:c r="C16" t="n">
        <x:v>104.55</x:v>
      </x:c>
      <x:c r="D16" t="n">
        <x:v>90.78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6.33</x:v>
      </x:c>
      <x:c r="C17" t="n">
        <x:v>104.74</x:v>
      </x:c>
      <x:c r="D17" t="n">
        <x:v>90.66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6.79</x:v>
      </x:c>
      <x:c r="C18" t="n">
        <x:v>104.46</x:v>
      </x:c>
      <x:c r="D18" t="n">
        <x:v>89.79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6.87</x:v>
      </x:c>
      <x:c r="C19" t="n">
        <x:v>105.4</x:v>
      </x:c>
      <x:c r="D19" t="n">
        <x:v>89.94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5</x:v>
      </x:c>
      <x:c r="E2" t="n">
        <x:v>9</x:v>
      </x:c>
      <x:c r="F2" t="n">
        <x:v>8</x:v>
      </x:c>
      <x:c r="G2" t="n">
        <x:v>1</x:v>
      </x:c>
      <x:c r="H2" t="n">
        <x:v>23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3</x:v>
      </x:c>
      <x:c r="E3" t="n">
        <x:v>5</x:v>
      </x:c>
      <x:c r="F3" t="n">
        <x:v>2</x:v>
      </x:c>
      <x:c r="G3" t="n">
        <x:v>3</x:v>
      </x:c>
      <x:c r="H3" t="n">
        <x:v>13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5</x:v>
      </x:c>
      <x:c r="E4" t="n">
        <x:v>6</x:v>
      </x:c>
      <x:c r="F4" t="n">
        <x:v>3</x:v>
      </x:c>
      <x:c r="G4" t="n">
        <x:v>2</x:v>
      </x:c>
      <x:c r="H4" t="n">
        <x:v>16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6</x:v>
      </x:c>
      <x:c r="E5" t="n">
        <x:v>7</x:v>
      </x:c>
      <x:c r="F5" t="n">
        <x:v>8</x:v>
      </x:c>
      <x:c r="G5" t="n">
        <x:v>4</x:v>
      </x:c>
      <x:c r="H5" t="n">
        <x:v>25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1218</x:v>
      </x:c>
      <x:c r="C2" t="n">
        <x:v>1461</x:v>
      </x:c>
      <x:c r="D2" t="n">
        <x:f>C2-B2</x:f>
        <x:v>243</x:v>
      </x:c>
      <x:c r="E2" t="n">
        <x:f>ABS(D2)</x:f>
        <x:v>243</x:v>
      </x:c>
      <x:c r="F2" s="22" t="n">
        <x:f>IFERROR(E2/C2,0)</x:f>
        <x:v>0.16632443531827515</x:v>
      </x:c>
      <x:c r="G2" t="str">
        <x:v>Formula columns should calculate error and accuracy</x:v>
      </x:c>
    </x:row>
    <x:row r="3">
      <x:c r="A3" t="n">
        <x:v>45505</x:v>
      </x:c>
      <x:c r="B3" t="n">
        <x:v>1325</x:v>
      </x:c>
      <x:c r="C3" t="n">
        <x:v>1373</x:v>
      </x:c>
      <x:c r="D3" t="n">
        <x:f>C3-B3</x:f>
        <x:v>48</x:v>
      </x:c>
      <x:c r="E3" t="n">
        <x:f>ABS(D3)</x:f>
        <x:v>48</x:v>
      </x:c>
      <x:c r="F3" s="22" t="n">
        <x:f>IFERROR(E3/C3,0)</x:f>
        <x:v>0.03495994173343044</x:v>
      </x:c>
      <x:c r="G3" t="str">
        <x:v>Formula columns should calculate error and accuracy</x:v>
      </x:c>
    </x:row>
    <x:row r="4">
      <x:c r="A4" t="n">
        <x:v>45536</x:v>
      </x:c>
      <x:c r="B4" t="n">
        <x:v>1323</x:v>
      </x:c>
      <x:c r="C4" t="n">
        <x:v>1469</x:v>
      </x:c>
      <x:c r="D4" t="n">
        <x:f>C4-B4</x:f>
        <x:v>146</x:v>
      </x:c>
      <x:c r="E4" t="n">
        <x:f>ABS(D4)</x:f>
        <x:v>146</x:v>
      </x:c>
      <x:c r="F4" s="22" t="n">
        <x:f>IFERROR(E4/C4,0)</x:f>
        <x:v>0.09938733832539143</x:v>
      </x:c>
      <x:c r="G4" t="str">
        <x:v>Formula columns should calculate error and accuracy</x:v>
      </x:c>
    </x:row>
    <x:row r="5">
      <x:c r="A5" t="n">
        <x:v>45566</x:v>
      </x:c>
      <x:c r="B5" t="n">
        <x:v>1427</x:v>
      </x:c>
      <x:c r="C5" t="n">
        <x:v>1544</x:v>
      </x:c>
      <x:c r="D5" t="n">
        <x:f>C5-B5</x:f>
        <x:v>117</x:v>
      </x:c>
      <x:c r="E5" t="n">
        <x:f>ABS(D5)</x:f>
        <x:v>117</x:v>
      </x:c>
      <x:c r="F5" s="22" t="n">
        <x:f>IFERROR(E5/C5,0)</x:f>
        <x:v>0.07577720207253887</x:v>
      </x:c>
      <x:c r="G5" t="str">
        <x:v>Formula columns should calculate error and accuracy</x:v>
      </x:c>
    </x:row>
    <x:row r="6">
      <x:c r="A6" t="n">
        <x:v>45597</x:v>
      </x:c>
      <x:c r="B6" t="n">
        <x:v>1440</x:v>
      </x:c>
      <x:c r="C6" t="n">
        <x:v>1535</x:v>
      </x:c>
      <x:c r="D6" t="n">
        <x:f>C6-B6</x:f>
        <x:v>95</x:v>
      </x:c>
      <x:c r="E6" t="n">
        <x:f>ABS(D6)</x:f>
        <x:v>95</x:v>
      </x:c>
      <x:c r="F6" s="22" t="n">
        <x:f>IFERROR(E6/C6,0)</x:f>
        <x:v>0.06188925081433225</x:v>
      </x:c>
      <x:c r="G6" t="str">
        <x:v>Formula columns should calculate error and accuracy</x:v>
      </x:c>
    </x:row>
    <x:row r="7">
      <x:c r="A7" t="n">
        <x:v>45627</x:v>
      </x:c>
      <x:c r="B7" t="n">
        <x:v>1496</x:v>
      </x:c>
      <x:c r="C7" t="n">
        <x:v>1394</x:v>
      </x:c>
      <x:c r="D7" t="n">
        <x:f>C7-B7</x:f>
        <x:v>-102</x:v>
      </x:c>
      <x:c r="E7" t="n">
        <x:f>ABS(D7)</x:f>
        <x:v>102</x:v>
      </x:c>
      <x:c r="F7" s="22" t="n">
        <x:f>IFERROR(E7/C7,0)</x:f>
        <x:v>0.07317073170731707</x:v>
      </x:c>
      <x:c r="G7" t="str">
        <x:v>Formula columns should calculate error and accuracy</x:v>
      </x:c>
    </x:row>
    <x:row r="8">
      <x:c r="A8" t="n">
        <x:v>45658</x:v>
      </x:c>
      <x:c r="B8" t="n">
        <x:v>1453</x:v>
      </x:c>
      <x:c r="C8" t="n">
        <x:v>1318</x:v>
      </x:c>
      <x:c r="D8" t="n">
        <x:f>C8-B8</x:f>
        <x:v>-135</x:v>
      </x:c>
      <x:c r="E8" t="n">
        <x:f>ABS(D8)</x:f>
        <x:v>135</x:v>
      </x:c>
      <x:c r="F8" s="22" t="n">
        <x:f>IFERROR(E8/C8,0)</x:f>
        <x:v>0.10242792109256449</x:v>
      </x:c>
      <x:c r="G8" t="str">
        <x:v>Formula columns should calculate error and accuracy</x:v>
      </x:c>
    </x:row>
    <x:row r="9">
      <x:c r="A9" t="n">
        <x:v>45689</x:v>
      </x:c>
      <x:c r="B9" t="n">
        <x:v>1409</x:v>
      </x:c>
      <x:c r="C9" t="n">
        <x:v>1288</x:v>
      </x:c>
      <x:c r="D9" t="n">
        <x:f>C9-B9</x:f>
        <x:v>-121</x:v>
      </x:c>
      <x:c r="E9" t="n">
        <x:f>ABS(D9)</x:f>
        <x:v>121</x:v>
      </x:c>
      <x:c r="F9" s="22" t="n">
        <x:f>IFERROR(E9/C9,0)</x:f>
        <x:v>0.09394409937888198</x:v>
      </x:c>
      <x:c r="G9" t="str">
        <x:v>Formula columns should calculate error and accuracy</x:v>
      </x:c>
    </x:row>
    <x:row r="10">
      <x:c r="A10" t="n">
        <x:v>45717</x:v>
      </x:c>
      <x:c r="B10" t="n">
        <x:v>1410</x:v>
      </x:c>
      <x:c r="C10" t="n">
        <x:v>1709</x:v>
      </x:c>
      <x:c r="D10" t="n">
        <x:f>C10-B10</x:f>
        <x:v>299</x:v>
      </x:c>
      <x:c r="E10" t="n">
        <x:f>ABS(D10)</x:f>
        <x:v>299</x:v>
      </x:c>
      <x:c r="F10" s="22" t="n">
        <x:f>IFERROR(E10/C10,0)</x:f>
        <x:v>0.17495611468695144</x:v>
      </x:c>
      <x:c r="G10" t="str">
        <x:v>Formula columns should calculate error and accuracy</x:v>
      </x:c>
    </x:row>
    <x:row r="11">
      <x:c r="A11" t="n">
        <x:v>45748</x:v>
      </x:c>
      <x:c r="B11" t="n">
        <x:v>1436</x:v>
      </x:c>
      <x:c r="C11" t="n">
        <x:v>1695</x:v>
      </x:c>
      <x:c r="D11" t="n">
        <x:f>C11-B11</x:f>
        <x:v>259</x:v>
      </x:c>
      <x:c r="E11" t="n">
        <x:f>ABS(D11)</x:f>
        <x:v>259</x:v>
      </x:c>
      <x:c r="F11" s="22" t="n">
        <x:f>IFERROR(E11/C11,0)</x:f>
        <x:v>0.1528023598820059</x:v>
      </x:c>
      <x:c r="G11" t="str">
        <x:v>Formula columns should calculate error and accuracy</x:v>
      </x:c>
    </x:row>
    <x:row r="12">
      <x:c r="A12" t="n">
        <x:v>45778</x:v>
      </x:c>
      <x:c r="B12" t="n">
        <x:v>1543</x:v>
      </x:c>
      <x:c r="C12" t="n">
        <x:v>1303</x:v>
      </x:c>
      <x:c r="D12" t="n">
        <x:f>C12-B12</x:f>
        <x:v>-240</x:v>
      </x:c>
      <x:c r="E12" t="n">
        <x:f>ABS(D12)</x:f>
        <x:v>240</x:v>
      </x:c>
      <x:c r="F12" s="22" t="n">
        <x:f>IFERROR(E12/C12,0)</x:f>
        <x:v>0.1841903300076746</x:v>
      </x:c>
      <x:c r="G12" t="str">
        <x:v>Formula columns should calculate error and accuracy</x:v>
      </x:c>
    </x:row>
    <x:row r="13">
      <x:c r="A13" t="n">
        <x:v>45809</x:v>
      </x:c>
      <x:c r="B13" t="n">
        <x:v>1457</x:v>
      </x:c>
      <x:c r="C13" t="n">
        <x:v>1759</x:v>
      </x:c>
      <x:c r="D13" t="n">
        <x:f>C13-B13</x:f>
        <x:v>302</x:v>
      </x:c>
      <x:c r="E13" t="n">
        <x:f>ABS(D13)</x:f>
        <x:v>302</x:v>
      </x:c>
      <x:c r="F13" s="22" t="n">
        <x:f>IFERROR(E13/C13,0)</x:f>
        <x:v>0.1716884593519045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82</x:v>
      </x:c>
      <x:c r="E2" t="n">
        <x:v>816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58</x:v>
      </x:c>
      <x:c r="E3" t="n">
        <x:v>776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83</x:v>
      </x:c>
      <x:c r="E4" t="n">
        <x:v>1282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48</x:v>
      </x:c>
      <x:c r="E5" t="n">
        <x:v>686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60</x:v>
      </x:c>
      <x:c r="E6" t="n">
        <x:v>933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95</x:v>
      </x:c>
      <x:c r="E7" t="n">
        <x:v>1226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49</x:v>
      </x:c>
      <x:c r="E8" t="n">
        <x:v>714</x:v>
      </x:c>
      <x:c r="F8" t="str">
        <x:v>Low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80</x:v>
      </x:c>
      <x:c r="E9" t="n">
        <x:v>854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4</x:v>
      </x:c>
      <x:c r="F2" t="n">
        <x:v>1516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1</x:v>
      </x:c>
      <x:c r="F3" t="n">
        <x:v>367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3</x:v>
      </x:c>
      <x:c r="F4" t="n">
        <x:v>1282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Bi-weekly</x:v>
      </x:c>
      <x:c r="E5" t="n">
        <x:v>2</x:v>
      </x:c>
      <x:c r="F5" t="n">
        <x:v>909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Weekly</x:v>
      </x:c>
      <x:c r="E6" t="n">
        <x:v>3</x:v>
      </x:c>
      <x:c r="F6" t="n">
        <x:v>922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252</x:v>
      </x:c>
      <x:c r="F2" t="n">
        <x:v>82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170</x:v>
      </x:c>
      <x:c r="F3" t="n">
        <x:v>80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12</x:v>
      </x:c>
      <x:c r="F4" t="n">
        <x:v>75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13</x:v>
      </x:c>
      <x:c r="F5" t="n">
        <x:v>61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Face Wash Garnier Skin Care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Face Wash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Skin Care competitor pricing promotions Bangladesh Garnier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Face Wash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64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83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73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76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