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004e83dc84c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17bfd9e302bc4385"/>
    <x:sheet xmlns:r="http://schemas.openxmlformats.org/officeDocument/2006/relationships" name="Historical_Sales" sheetId="2" r:id="Rd83fff5c3fc84c7f"/>
    <x:sheet xmlns:r="http://schemas.openxmlformats.org/officeDocument/2006/relationships" name="Inventory" sheetId="3" r:id="Rfc530c408c20447b"/>
    <x:sheet xmlns:r="http://schemas.openxmlformats.org/officeDocument/2006/relationships" name="Promotions" sheetId="4" r:id="R0c329cc53b614454"/>
    <x:sheet xmlns:r="http://schemas.openxmlformats.org/officeDocument/2006/relationships" name="Competitors" sheetId="5" r:id="R5b0a32e6f2bb49fd"/>
    <x:sheet xmlns:r="http://schemas.openxmlformats.org/officeDocument/2006/relationships" name="Economic" sheetId="6" r:id="Rb63b4644641e4bac"/>
    <x:sheet xmlns:r="http://schemas.openxmlformats.org/officeDocument/2006/relationships" name="Lead_Time" sheetId="7" r:id="R4c7308360cf84266"/>
    <x:sheet xmlns:r="http://schemas.openxmlformats.org/officeDocument/2006/relationships" name="Forecast_Actual" sheetId="8" r:id="R93caef6b165740bd"/>
    <x:sheet xmlns:r="http://schemas.openxmlformats.org/officeDocument/2006/relationships" name="Regional_Demand_Map" sheetId="9" r:id="R6b382b6bc2104075"/>
    <x:sheet xmlns:r="http://schemas.openxmlformats.org/officeDocument/2006/relationships" name="SCM_Flow_Map" sheetId="10" r:id="Rd88de8cfb45141ec"/>
    <x:sheet xmlns:r="http://schemas.openxmlformats.org/officeDocument/2006/relationships" name="Customer_Patterns" sheetId="11" r:id="R3427e300b0bc4ec8"/>
    <x:sheet xmlns:r="http://schemas.openxmlformats.org/officeDocument/2006/relationships" name="Technology_Data" sheetId="12" r:id="Re3126978e861408c"/>
    <x:sheet xmlns:r="http://schemas.openxmlformats.org/officeDocument/2006/relationships" name="Web_Search_Seeds" sheetId="13" r:id="Rc1993a39e3ac499b"/>
    <x:sheet xmlns:r="http://schemas.openxmlformats.org/officeDocument/2006/relationships" name="Manual_Expert_Opinion" sheetId="14" r:id="R9caa36be8b1c442a"/>
    <x:sheet xmlns:r="http://schemas.openxmlformats.org/officeDocument/2006/relationships" name="Data_Issues" sheetId="15" r:id="R263c82aa3f9347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53fbc99ce4cd0" /><Relationship Type="http://schemas.openxmlformats.org/officeDocument/2006/relationships/theme" Target="/xl/theme/theme1.xml" Id="Rc6ec253afc834560" /><Relationship Type="http://schemas.openxmlformats.org/officeDocument/2006/relationships/sharedStrings" Target="/xl/sharedStrings.xml" Id="Rbc50335012e74edb" /><Relationship Type="http://schemas.openxmlformats.org/officeDocument/2006/relationships/worksheet" Target="/xl/worksheets/sheet1.xml" Id="R17bfd9e302bc4385" /><Relationship Type="http://schemas.openxmlformats.org/officeDocument/2006/relationships/worksheet" Target="/xl/worksheets/sheet2.xml" Id="Rd83fff5c3fc84c7f" /><Relationship Type="http://schemas.openxmlformats.org/officeDocument/2006/relationships/worksheet" Target="/xl/worksheets/sheet3.xml" Id="Rfc530c408c20447b" /><Relationship Type="http://schemas.openxmlformats.org/officeDocument/2006/relationships/worksheet" Target="/xl/worksheets/sheet4.xml" Id="R0c329cc53b614454" /><Relationship Type="http://schemas.openxmlformats.org/officeDocument/2006/relationships/worksheet" Target="/xl/worksheets/sheet5.xml" Id="R5b0a32e6f2bb49fd" /><Relationship Type="http://schemas.openxmlformats.org/officeDocument/2006/relationships/worksheet" Target="/xl/worksheets/sheet6.xml" Id="Rb63b4644641e4bac" /><Relationship Type="http://schemas.openxmlformats.org/officeDocument/2006/relationships/worksheet" Target="/xl/worksheets/sheet7.xml" Id="R4c7308360cf84266" /><Relationship Type="http://schemas.openxmlformats.org/officeDocument/2006/relationships/worksheet" Target="/xl/worksheets/sheet8.xml" Id="R93caef6b165740bd" /><Relationship Type="http://schemas.openxmlformats.org/officeDocument/2006/relationships/worksheet" Target="/xl/worksheets/sheet9.xml" Id="R6b382b6bc2104075" /><Relationship Type="http://schemas.openxmlformats.org/officeDocument/2006/relationships/worksheet" Target="/xl/worksheets/sheet10.xml" Id="Rd88de8cfb45141ec" /><Relationship Type="http://schemas.openxmlformats.org/officeDocument/2006/relationships/worksheet" Target="/xl/worksheets/sheet11.xml" Id="R3427e300b0bc4ec8" /><Relationship Type="http://schemas.openxmlformats.org/officeDocument/2006/relationships/worksheet" Target="/xl/worksheets/sheet12.xml" Id="Re3126978e861408c" /><Relationship Type="http://schemas.openxmlformats.org/officeDocument/2006/relationships/worksheet" Target="/xl/worksheets/sheet13.xml" Id="Rc1993a39e3ac499b" /><Relationship Type="http://schemas.openxmlformats.org/officeDocument/2006/relationships/worksheet" Target="/xl/worksheets/sheet14.xml" Id="R9caa36be8b1c442a" /><Relationship Type="http://schemas.openxmlformats.org/officeDocument/2006/relationships/worksheet" Target="/xl/worksheets/sheet15.xml" Id="R263c82aa3f9347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DPF-26</x:v>
      </x:c>
    </x:row>
    <x:row r="3">
      <x:c r="A3" t="str">
        <x:v>Scenario Title</x:v>
      </x:c>
      <x:c r="B3" t="str">
        <x:v>Forecast Accuracy Benchmark</x:v>
      </x:c>
    </x:row>
    <x:row r="4">
      <x:c r="A4" t="str">
        <x:v>Purpose</x:v>
      </x:c>
      <x:c r="B4" t="str">
        <x:v>Test MAPE and error calculations.</x:v>
      </x:c>
    </x:row>
    <x:row r="5">
      <x:c r="A5" t="str">
        <x:v>Product Name</x:v>
      </x:c>
      <x:c r="B5" t="str">
        <x:v>Milk Powder</x:v>
      </x:c>
    </x:row>
    <x:row r="6">
      <x:c r="A6" t="str">
        <x:v>Category</x:v>
      </x:c>
      <x:c r="B6" t="str">
        <x:v>Grocery</x:v>
      </x:c>
    </x:row>
    <x:row r="7">
      <x:c r="A7" t="str">
        <x:v>Brand</x:v>
      </x:c>
      <x:c r="B7" t="str">
        <x:v>Diploma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Forecast Accuracy, Historical Sales</x:v>
      </x:c>
    </x:row>
    <x:row r="11">
      <x:c r="A11" t="str">
        <x:v>Recommended Inputs To Tick</x:v>
      </x:c>
      <x:c r="B11" t="str">
        <x:v>Forecast Accuracy, Historical Sales Data</x:v>
      </x:c>
    </x:row>
    <x:row r="12">
      <x:c r="A12" t="str">
        <x:v>Recommended Outputs To Tick</x:v>
      </x:c>
      <x:c r="B12" t="str">
        <x:v>Forecast Accuracy Report, MAPE Trend, Forecast Error Bar Chart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Milk Powder</x:v>
      </x:c>
      <x:c r="C2" t="str">
        <x:v>Grocery</x:v>
      </x:c>
      <x:c r="D2" t="str">
        <x:v>Diploma</x:v>
      </x:c>
      <x:c r="E2" t="str">
        <x:v>Dhaka</x:v>
      </x:c>
      <x:c r="F2" t="str">
        <x:v>Retail</x:v>
      </x:c>
      <x:c r="G2" t="n">
        <x:v>1546</x:v>
      </x:c>
      <x:c r="H2" t="n">
        <x:v>790</x:v>
      </x:c>
      <x:c r="I2" t="n">
        <x:v>1221340</x:v>
      </x:c>
      <x:c r="J2" t="str"/>
    </x:row>
    <x:row r="3">
      <x:c r="A3" t="n">
        <x:v>45323</x:v>
      </x:c>
      <x:c r="B3" t="str">
        <x:v>Milk Powder</x:v>
      </x:c>
      <x:c r="C3" t="str">
        <x:v>Grocery</x:v>
      </x:c>
      <x:c r="D3" t="str">
        <x:v>Diploma</x:v>
      </x:c>
      <x:c r="E3" t="str">
        <x:v>Chattogram</x:v>
      </x:c>
      <x:c r="F3" t="str">
        <x:v>Online</x:v>
      </x:c>
      <x:c r="G3" t="n">
        <x:v>1921</x:v>
      </x:c>
      <x:c r="H3" t="n">
        <x:v>790</x:v>
      </x:c>
      <x:c r="I3" t="n">
        <x:v>1517590</x:v>
      </x:c>
      <x:c r="J3" t="str"/>
    </x:row>
    <x:row r="4">
      <x:c r="A4" t="n">
        <x:v>45352</x:v>
      </x:c>
      <x:c r="B4" t="str">
        <x:v>Milk Powder</x:v>
      </x:c>
      <x:c r="C4" t="str">
        <x:v>Grocery</x:v>
      </x:c>
      <x:c r="D4" t="str">
        <x:v>Diploma</x:v>
      </x:c>
      <x:c r="E4" t="str">
        <x:v>Sylhet</x:v>
      </x:c>
      <x:c r="F4" t="str">
        <x:v>Wholesale</x:v>
      </x:c>
      <x:c r="G4" t="n">
        <x:v>1797</x:v>
      </x:c>
      <x:c r="H4" t="n">
        <x:v>790</x:v>
      </x:c>
      <x:c r="I4" t="n">
        <x:v>1419630</x:v>
      </x:c>
      <x:c r="J4" t="str"/>
    </x:row>
    <x:row r="5">
      <x:c r="A5" t="n">
        <x:v>45383</x:v>
      </x:c>
      <x:c r="B5" t="str">
        <x:v>Milk Powder</x:v>
      </x:c>
      <x:c r="C5" t="str">
        <x:v>Grocery</x:v>
      </x:c>
      <x:c r="D5" t="str">
        <x:v>Diploma</x:v>
      </x:c>
      <x:c r="E5" t="str">
        <x:v>Rajshahi</x:v>
      </x:c>
      <x:c r="F5" t="str">
        <x:v>Modern Trade</x:v>
      </x:c>
      <x:c r="G5" t="n">
        <x:v>1665</x:v>
      </x:c>
      <x:c r="H5" t="n">
        <x:v>790</x:v>
      </x:c>
      <x:c r="I5" t="n">
        <x:v>1315350</x:v>
      </x:c>
      <x:c r="J5" t="str"/>
    </x:row>
    <x:row r="6">
      <x:c r="A6" t="n">
        <x:v>45413</x:v>
      </x:c>
      <x:c r="B6" t="str">
        <x:v>Milk Powder</x:v>
      </x:c>
      <x:c r="C6" t="str">
        <x:v>Grocery</x:v>
      </x:c>
      <x:c r="D6" t="str">
        <x:v>Diploma</x:v>
      </x:c>
      <x:c r="E6" t="str">
        <x:v>Khulna</x:v>
      </x:c>
      <x:c r="F6" t="str">
        <x:v>Retail</x:v>
      </x:c>
      <x:c r="G6" t="n">
        <x:v>1654</x:v>
      </x:c>
      <x:c r="H6" t="n">
        <x:v>790</x:v>
      </x:c>
      <x:c r="I6" t="n">
        <x:v>1306660</x:v>
      </x:c>
      <x:c r="J6" t="str"/>
    </x:row>
    <x:row r="7">
      <x:c r="A7" t="n">
        <x:v>45444</x:v>
      </x:c>
      <x:c r="B7" t="str">
        <x:v>Milk Powder</x:v>
      </x:c>
      <x:c r="C7" t="str">
        <x:v>Grocery</x:v>
      </x:c>
      <x:c r="D7" t="str">
        <x:v>Diploma</x:v>
      </x:c>
      <x:c r="E7" t="str">
        <x:v>Barishal</x:v>
      </x:c>
      <x:c r="F7" t="str">
        <x:v>Online</x:v>
      </x:c>
      <x:c r="G7" t="n">
        <x:v>1850</x:v>
      </x:c>
      <x:c r="H7" t="n">
        <x:v>790</x:v>
      </x:c>
      <x:c r="I7" t="n">
        <x:v>1461500</x:v>
      </x:c>
      <x:c r="J7" t="str"/>
    </x:row>
    <x:row r="8">
      <x:c r="A8" t="n">
        <x:v>45474</x:v>
      </x:c>
      <x:c r="B8" t="str">
        <x:v>Milk Powder</x:v>
      </x:c>
      <x:c r="C8" t="str">
        <x:v>Grocery</x:v>
      </x:c>
      <x:c r="D8" t="str">
        <x:v>Diploma</x:v>
      </x:c>
      <x:c r="E8" t="str">
        <x:v>Rangpur</x:v>
      </x:c>
      <x:c r="F8" t="str">
        <x:v>Wholesale</x:v>
      </x:c>
      <x:c r="G8" t="n">
        <x:v>1876</x:v>
      </x:c>
      <x:c r="H8" t="n">
        <x:v>790</x:v>
      </x:c>
      <x:c r="I8" t="n">
        <x:v>1482040</x:v>
      </x:c>
      <x:c r="J8" t="str"/>
    </x:row>
    <x:row r="9">
      <x:c r="A9" t="n">
        <x:v>45505</x:v>
      </x:c>
      <x:c r="B9" t="str">
        <x:v>Milk Powder</x:v>
      </x:c>
      <x:c r="C9" t="str">
        <x:v>Grocery</x:v>
      </x:c>
      <x:c r="D9" t="str">
        <x:v>Diploma</x:v>
      </x:c>
      <x:c r="E9" t="str">
        <x:v>Mymensingh</x:v>
      </x:c>
      <x:c r="F9" t="str">
        <x:v>Modern Trade</x:v>
      </x:c>
      <x:c r="G9" t="n">
        <x:v>1695</x:v>
      </x:c>
      <x:c r="H9" t="n">
        <x:v>790</x:v>
      </x:c>
      <x:c r="I9" t="n">
        <x:v>1339050</x:v>
      </x:c>
      <x:c r="J9" t="str"/>
    </x:row>
    <x:row r="10">
      <x:c r="A10" t="n">
        <x:v>45536</x:v>
      </x:c>
      <x:c r="B10" t="str">
        <x:v>Milk Powder</x:v>
      </x:c>
      <x:c r="C10" t="str">
        <x:v>Grocery</x:v>
      </x:c>
      <x:c r="D10" t="str">
        <x:v>Diploma</x:v>
      </x:c>
      <x:c r="E10" t="str">
        <x:v>Dhaka</x:v>
      </x:c>
      <x:c r="F10" t="str">
        <x:v>Retail</x:v>
      </x:c>
      <x:c r="G10" t="n">
        <x:v>2129</x:v>
      </x:c>
      <x:c r="H10" t="n">
        <x:v>790</x:v>
      </x:c>
      <x:c r="I10" t="n">
        <x:v>1681910</x:v>
      </x:c>
      <x:c r="J10" t="str"/>
    </x:row>
    <x:row r="11">
      <x:c r="A11" t="n">
        <x:v>45566</x:v>
      </x:c>
      <x:c r="B11" t="str">
        <x:v>Milk Powder</x:v>
      </x:c>
      <x:c r="C11" t="str">
        <x:v>Grocery</x:v>
      </x:c>
      <x:c r="D11" t="str">
        <x:v>Diploma</x:v>
      </x:c>
      <x:c r="E11" t="str">
        <x:v>Chattogram</x:v>
      </x:c>
      <x:c r="F11" t="str">
        <x:v>Online</x:v>
      </x:c>
      <x:c r="G11" t="n">
        <x:v>2121</x:v>
      </x:c>
      <x:c r="H11" t="n">
        <x:v>790</x:v>
      </x:c>
      <x:c r="I11" t="n">
        <x:v>1675590</x:v>
      </x:c>
      <x:c r="J11" t="str"/>
    </x:row>
    <x:row r="12">
      <x:c r="A12" t="n">
        <x:v>45597</x:v>
      </x:c>
      <x:c r="B12" t="str">
        <x:v>Milk Powder</x:v>
      </x:c>
      <x:c r="C12" t="str">
        <x:v>Grocery</x:v>
      </x:c>
      <x:c r="D12" t="str">
        <x:v>Diploma</x:v>
      </x:c>
      <x:c r="E12" t="str">
        <x:v>Sylhet</x:v>
      </x:c>
      <x:c r="F12" t="str">
        <x:v>Wholesale</x:v>
      </x:c>
      <x:c r="G12" t="n">
        <x:v>1937</x:v>
      </x:c>
      <x:c r="H12" t="n">
        <x:v>790</x:v>
      </x:c>
      <x:c r="I12" t="n">
        <x:v>1530230</x:v>
      </x:c>
      <x:c r="J12" t="str"/>
    </x:row>
    <x:row r="13">
      <x:c r="A13" t="n">
        <x:v>45627</x:v>
      </x:c>
      <x:c r="B13" t="str">
        <x:v>Milk Powder</x:v>
      </x:c>
      <x:c r="C13" t="str">
        <x:v>Grocery</x:v>
      </x:c>
      <x:c r="D13" t="str">
        <x:v>Diploma</x:v>
      </x:c>
      <x:c r="E13" t="str">
        <x:v>Rajshahi</x:v>
      </x:c>
      <x:c r="F13" t="str">
        <x:v>Modern Trade</x:v>
      </x:c>
      <x:c r="G13" t="n">
        <x:v>1799</x:v>
      </x:c>
      <x:c r="H13" t="n">
        <x:v>790</x:v>
      </x:c>
      <x:c r="I13" t="n">
        <x:v>1421210</x:v>
      </x:c>
      <x:c r="J13" t="str"/>
    </x:row>
    <x:row r="14">
      <x:c r="A14" t="n">
        <x:v>45658</x:v>
      </x:c>
      <x:c r="B14" t="str">
        <x:v>Milk Powder</x:v>
      </x:c>
      <x:c r="C14" t="str">
        <x:v>Grocery</x:v>
      </x:c>
      <x:c r="D14" t="str">
        <x:v>Diploma</x:v>
      </x:c>
      <x:c r="E14" t="str">
        <x:v>Khulna</x:v>
      </x:c>
      <x:c r="F14" t="str">
        <x:v>Retail</x:v>
      </x:c>
      <x:c r="G14" t="n">
        <x:v>2166</x:v>
      </x:c>
      <x:c r="H14" t="n">
        <x:v>790</x:v>
      </x:c>
      <x:c r="I14" t="n">
        <x:v>1711140</x:v>
      </x:c>
      <x:c r="J14" t="str"/>
    </x:row>
    <x:row r="15">
      <x:c r="A15" t="n">
        <x:v>45689</x:v>
      </x:c>
      <x:c r="B15" t="str">
        <x:v>Milk Powder</x:v>
      </x:c>
      <x:c r="C15" t="str">
        <x:v>Grocery</x:v>
      </x:c>
      <x:c r="D15" t="str">
        <x:v>Diploma</x:v>
      </x:c>
      <x:c r="E15" t="str">
        <x:v>Barishal</x:v>
      </x:c>
      <x:c r="F15" t="str">
        <x:v>Online</x:v>
      </x:c>
      <x:c r="G15" t="n">
        <x:v>2031</x:v>
      </x:c>
      <x:c r="H15" t="n">
        <x:v>790</x:v>
      </x:c>
      <x:c r="I15" t="n">
        <x:v>1604490</x:v>
      </x:c>
      <x:c r="J15" t="str"/>
    </x:row>
    <x:row r="16">
      <x:c r="A16" t="n">
        <x:v>45717</x:v>
      </x:c>
      <x:c r="B16" t="str">
        <x:v>Milk Powder</x:v>
      </x:c>
      <x:c r="C16" t="str">
        <x:v>Grocery</x:v>
      </x:c>
      <x:c r="D16" t="str">
        <x:v>Diploma</x:v>
      </x:c>
      <x:c r="E16" t="str">
        <x:v>Rangpur</x:v>
      </x:c>
      <x:c r="F16" t="str">
        <x:v>Wholesale</x:v>
      </x:c>
      <x:c r="G16" t="n">
        <x:v>2164</x:v>
      </x:c>
      <x:c r="H16" t="n">
        <x:v>790</x:v>
      </x:c>
      <x:c r="I16" t="n">
        <x:v>1709560</x:v>
      </x:c>
      <x:c r="J16" t="str"/>
    </x:row>
    <x:row r="17">
      <x:c r="A17" t="n">
        <x:v>45748</x:v>
      </x:c>
      <x:c r="B17" t="str">
        <x:v>Milk Powder</x:v>
      </x:c>
      <x:c r="C17" t="str">
        <x:v>Grocery</x:v>
      </x:c>
      <x:c r="D17" t="str">
        <x:v>Diploma</x:v>
      </x:c>
      <x:c r="E17" t="str">
        <x:v>Mymensingh</x:v>
      </x:c>
      <x:c r="F17" t="str">
        <x:v>Modern Trade</x:v>
      </x:c>
      <x:c r="G17" t="n">
        <x:v>2087</x:v>
      </x:c>
      <x:c r="H17" t="n">
        <x:v>790</x:v>
      </x:c>
      <x:c r="I17" t="n">
        <x:v>1648730</x:v>
      </x:c>
      <x:c r="J17" t="str"/>
    </x:row>
    <x:row r="18">
      <x:c r="A18" t="n">
        <x:v>45778</x:v>
      </x:c>
      <x:c r="B18" t="str">
        <x:v>Milk Powder</x:v>
      </x:c>
      <x:c r="C18" t="str">
        <x:v>Grocery</x:v>
      </x:c>
      <x:c r="D18" t="str">
        <x:v>Diploma</x:v>
      </x:c>
      <x:c r="E18" t="str">
        <x:v>Dhaka</x:v>
      </x:c>
      <x:c r="F18" t="str">
        <x:v>Retail</x:v>
      </x:c>
      <x:c r="G18" t="n">
        <x:v>1993</x:v>
      </x:c>
      <x:c r="H18" t="n">
        <x:v>790</x:v>
      </x:c>
      <x:c r="I18" t="n">
        <x:v>1574470</x:v>
      </x:c>
      <x:c r="J18" t="str"/>
    </x:row>
    <x:row r="19">
      <x:c r="A19" t="n">
        <x:v>45809</x:v>
      </x:c>
      <x:c r="B19" t="str">
        <x:v>Milk Powder</x:v>
      </x:c>
      <x:c r="C19" t="str">
        <x:v>Grocery</x:v>
      </x:c>
      <x:c r="D19" t="str">
        <x:v>Diploma</x:v>
      </x:c>
      <x:c r="E19" t="str">
        <x:v>Chattogram</x:v>
      </x:c>
      <x:c r="F19" t="str">
        <x:v>Online</x:v>
      </x:c>
      <x:c r="G19" t="n">
        <x:v>2305</x:v>
      </x:c>
      <x:c r="H19" t="n">
        <x:v>790</x:v>
      </x:c>
      <x:c r="I19" t="n">
        <x:v>1820950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DIP-DPF-26-01</x:v>
      </x:c>
      <x:c r="B2" t="str">
        <x:v>Milk Powder</x:v>
      </x:c>
      <x:c r="C2" t="str">
        <x:v>Grocery</x:v>
      </x:c>
      <x:c r="D2" t="str">
        <x:v>Diploma</x:v>
      </x:c>
      <x:c r="E2" t="str">
        <x:v>Dhaka</x:v>
      </x:c>
      <x:c r="F2" t="str">
        <x:v>Dhaka DC</x:v>
      </x:c>
      <x:c r="G2" t="n">
        <x:v>3693</x:v>
      </x:c>
      <x:c r="H2" t="n">
        <x:v>507</x:v>
      </x:c>
      <x:c r="I2" t="n">
        <x:v>1243</x:v>
      </x:c>
      <x:c r="J2" t="n">
        <x:v>286</x:v>
      </x:c>
      <x:c r="K2" t="n">
        <x:v>120</x:v>
      </x:c>
      <x:c r="L2" t="n">
        <x:v>45672</x:v>
      </x:c>
      <x:c r="M2" t="str">
        <x:v>Overstock Risk</x:v>
      </x:c>
    </x:row>
    <x:row r="3">
      <x:c r="A3" t="str">
        <x:v>DIP-DPF-26-02</x:v>
      </x:c>
      <x:c r="B3" t="str">
        <x:v>Milk Powder</x:v>
      </x:c>
      <x:c r="C3" t="str">
        <x:v>Grocery</x:v>
      </x:c>
      <x:c r="D3" t="str">
        <x:v>Diploma</x:v>
      </x:c>
      <x:c r="E3" t="str">
        <x:v>Chattogram</x:v>
      </x:c>
      <x:c r="F3" t="str">
        <x:v>Chattogram DC</x:v>
      </x:c>
      <x:c r="G3" t="n">
        <x:v>3525</x:v>
      </x:c>
      <x:c r="H3" t="n">
        <x:v>580</x:v>
      </x:c>
      <x:c r="I3" t="n">
        <x:v>1421</x:v>
      </x:c>
      <x:c r="J3" t="n">
        <x:v>550</x:v>
      </x:c>
      <x:c r="K3" t="n">
        <x:v>120</x:v>
      </x:c>
      <x:c r="L3" t="n">
        <x:v>45673</x:v>
      </x:c>
      <x:c r="M3" t="str">
        <x:v>Overstock Risk</x:v>
      </x:c>
    </x:row>
    <x:row r="4">
      <x:c r="A4" t="str">
        <x:v>DIP-DPF-26-03</x:v>
      </x:c>
      <x:c r="B4" t="str">
        <x:v>Milk Powder</x:v>
      </x:c>
      <x:c r="C4" t="str">
        <x:v>Grocery</x:v>
      </x:c>
      <x:c r="D4" t="str">
        <x:v>Diploma</x:v>
      </x:c>
      <x:c r="E4" t="str">
        <x:v>Sylhet</x:v>
      </x:c>
      <x:c r="F4" t="str">
        <x:v>Sylhet DC</x:v>
      </x:c>
      <x:c r="G4" t="n">
        <x:v>1669</x:v>
      </x:c>
      <x:c r="H4" t="n">
        <x:v>657</x:v>
      </x:c>
      <x:c r="I4" t="n">
        <x:v>1350</x:v>
      </x:c>
      <x:c r="J4" t="n">
        <x:v>589</x:v>
      </x:c>
      <x:c r="K4" t="n">
        <x:v>120</x:v>
      </x:c>
      <x:c r="L4" t="n">
        <x:v>45674</x:v>
      </x:c>
      <x:c r="M4" t="str">
        <x:v>OK</x:v>
      </x:c>
    </x:row>
    <x:row r="5">
      <x:c r="A5" t="str">
        <x:v>DIP-DPF-26-04</x:v>
      </x:c>
      <x:c r="B5" t="str">
        <x:v>Milk Powder</x:v>
      </x:c>
      <x:c r="C5" t="str">
        <x:v>Grocery</x:v>
      </x:c>
      <x:c r="D5" t="str">
        <x:v>Diploma</x:v>
      </x:c>
      <x:c r="E5" t="str">
        <x:v>Rajshahi</x:v>
      </x:c>
      <x:c r="F5" t="str">
        <x:v>Rajshahi DC</x:v>
      </x:c>
      <x:c r="G5" t="n">
        <x:v>2335</x:v>
      </x:c>
      <x:c r="H5" t="n">
        <x:v>666</x:v>
      </x:c>
      <x:c r="I5" t="n">
        <x:v>1317</x:v>
      </x:c>
      <x:c r="J5" t="n">
        <x:v>239</x:v>
      </x:c>
      <x:c r="K5" t="n">
        <x:v>120</x:v>
      </x:c>
      <x:c r="L5" t="n">
        <x:v>45675</x:v>
      </x:c>
      <x:c r="M5" t="str">
        <x:v>OK</x:v>
      </x:c>
    </x:row>
    <x:row r="6">
      <x:c r="A6" t="str">
        <x:v>DIP-DPF-26-05</x:v>
      </x:c>
      <x:c r="B6" t="str">
        <x:v>Milk Powder</x:v>
      </x:c>
      <x:c r="C6" t="str">
        <x:v>Grocery</x:v>
      </x:c>
      <x:c r="D6" t="str">
        <x:v>Diploma</x:v>
      </x:c>
      <x:c r="E6" t="str">
        <x:v>Khulna</x:v>
      </x:c>
      <x:c r="F6" t="str">
        <x:v>Khulna DC</x:v>
      </x:c>
      <x:c r="G6" t="n">
        <x:v>2562</x:v>
      </x:c>
      <x:c r="H6" t="n">
        <x:v>715</x:v>
      </x:c>
      <x:c r="I6" t="n">
        <x:v>1432</x:v>
      </x:c>
      <x:c r="J6" t="n">
        <x:v>157</x:v>
      </x:c>
      <x:c r="K6" t="n">
        <x:v>120</x:v>
      </x:c>
      <x:c r="L6" t="n">
        <x:v>45676</x:v>
      </x:c>
      <x:c r="M6" t="str">
        <x:v>OK</x:v>
      </x:c>
    </x:row>
    <x:row r="7">
      <x:c r="A7" t="str">
        <x:v>DIP-DPF-26-06</x:v>
      </x:c>
      <x:c r="B7" t="str">
        <x:v>Milk Powder</x:v>
      </x:c>
      <x:c r="C7" t="str">
        <x:v>Grocery</x:v>
      </x:c>
      <x:c r="D7" t="str">
        <x:v>Diploma</x:v>
      </x:c>
      <x:c r="E7" t="str">
        <x:v>Barishal</x:v>
      </x:c>
      <x:c r="F7" t="str">
        <x:v>Barishal DC</x:v>
      </x:c>
      <x:c r="G7" t="n">
        <x:v>2423</x:v>
      </x:c>
      <x:c r="H7" t="n">
        <x:v>535</x:v>
      </x:c>
      <x:c r="I7" t="n">
        <x:v>1272</x:v>
      </x:c>
      <x:c r="J7" t="n">
        <x:v>374</x:v>
      </x:c>
      <x:c r="K7" t="n">
        <x:v>120</x:v>
      </x:c>
      <x:c r="L7" t="n">
        <x:v>45677</x:v>
      </x:c>
      <x:c r="M7" t="str">
        <x:v>OK</x:v>
      </x:c>
    </x:row>
    <x:row r="8">
      <x:c r="A8" t="str">
        <x:v>DIP-DPF-26-07</x:v>
      </x:c>
      <x:c r="B8" t="str">
        <x:v>Milk Powder</x:v>
      </x:c>
      <x:c r="C8" t="str">
        <x:v>Grocery</x:v>
      </x:c>
      <x:c r="D8" t="str">
        <x:v>Diploma</x:v>
      </x:c>
      <x:c r="E8" t="str">
        <x:v>Rangpur</x:v>
      </x:c>
      <x:c r="F8" t="str">
        <x:v>Rangpur DC</x:v>
      </x:c>
      <x:c r="G8" t="n">
        <x:v>2184</x:v>
      </x:c>
      <x:c r="H8" t="n">
        <x:v>528</x:v>
      </x:c>
      <x:c r="I8" t="n">
        <x:v>1148</x:v>
      </x:c>
      <x:c r="J8" t="n">
        <x:v>459</x:v>
      </x:c>
      <x:c r="K8" t="n">
        <x:v>120</x:v>
      </x:c>
      <x:c r="L8" t="n">
        <x:v>45678</x:v>
      </x:c>
      <x:c r="M8" t="str">
        <x:v>OK</x:v>
      </x:c>
    </x:row>
    <x:row r="9">
      <x:c r="A9" t="str">
        <x:v>DIP-DPF-26-08</x:v>
      </x:c>
      <x:c r="B9" t="str">
        <x:v>Milk Powder</x:v>
      </x:c>
      <x:c r="C9" t="str">
        <x:v>Grocery</x:v>
      </x:c>
      <x:c r="D9" t="str">
        <x:v>Diploma</x:v>
      </x:c>
      <x:c r="E9" t="str">
        <x:v>Mymensingh</x:v>
      </x:c>
      <x:c r="F9" t="str">
        <x:v>Mymensingh DC</x:v>
      </x:c>
      <x:c r="G9" t="n">
        <x:v>2519</x:v>
      </x:c>
      <x:c r="H9" t="n">
        <x:v>504</x:v>
      </x:c>
      <x:c r="I9" t="n">
        <x:v>1312</x:v>
      </x:c>
      <x:c r="J9" t="n">
        <x:v>99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20.9</x:v>
      </x:c>
      <x:c r="G2" t="n">
        <x:v>22.5</x:v>
      </x:c>
      <x:c r="H2" t="n">
        <x:v>143027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24.9</x:v>
      </x:c>
      <x:c r="G3" t="n">
        <x:v>26.2</x:v>
      </x:c>
      <x:c r="H3" t="n">
        <x:v>143867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29.7</x:v>
      </x:c>
      <x:c r="G4" t="n">
        <x:v>28.1</x:v>
      </x:c>
      <x:c r="H4" t="n">
        <x:v>73332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15</x:v>
      </x:c>
      <x:c r="G5" t="n">
        <x:v>15.1</x:v>
      </x:c>
      <x:c r="H5" t="n">
        <x:v>148273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Grocery</x:v>
      </x:c>
      <x:c r="E2" t="n">
        <x:v>896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Grocery</x:v>
      </x:c>
      <x:c r="E3" t="n">
        <x:v>773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Grocery</x:v>
      </x:c>
      <x:c r="E4" t="n">
        <x:v>797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Grocery</x:v>
      </x:c>
      <x:c r="E5" t="n">
        <x:v>778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7.63</x:v>
      </x:c>
      <x:c r="C2" t="n">
        <x:v>99.82</x:v>
      </x:c>
      <x:c r="D2" t="n">
        <x:v>86.97</x:v>
      </x:c>
      <x:c r="E2" t="n">
        <x:v>109</x:v>
      </x:c>
      <x:c r="F2" t="str">
        <x:v>Medium</x:v>
      </x:c>
      <x:c r="G2" t="str">
        <x:v>Economic conditions for demand adjustment</x:v>
      </x:c>
    </x:row>
    <x:row r="3">
      <x:c r="A3" t="n">
        <x:v>45323</x:v>
      </x:c>
      <x:c r="B3" t="n">
        <x:v>7.99</x:v>
      </x:c>
      <x:c r="C3" t="n">
        <x:v>99.61</x:v>
      </x:c>
      <x:c r="D3" t="n">
        <x:v>86.31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8.22</x:v>
      </x:c>
      <x:c r="C4" t="n">
        <x:v>101.54</x:v>
      </x:c>
      <x:c r="D4" t="n">
        <x:v>86.48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8.41</x:v>
      </x:c>
      <x:c r="C5" t="n">
        <x:v>101.29</x:v>
      </x:c>
      <x:c r="D5" t="n">
        <x:v>86.08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8.76</x:v>
      </x:c>
      <x:c r="C6" t="n">
        <x:v>101.9</x:v>
      </x:c>
      <x:c r="D6" t="n">
        <x:v>85.69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8.91</x:v>
      </x:c>
      <x:c r="C7" t="n">
        <x:v>102.22</x:v>
      </x:c>
      <x:c r="D7" t="n">
        <x:v>85.53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8.52</x:v>
      </x:c>
      <x:c r="C8" t="n">
        <x:v>101.43</x:v>
      </x:c>
      <x:c r="D8" t="n">
        <x:v>85.95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8.5</x:v>
      </x:c>
      <x:c r="C9" t="n">
        <x:v>102.62</x:v>
      </x:c>
      <x:c r="D9" t="n">
        <x:v>86.34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8.27</x:v>
      </x:c>
      <x:c r="C10" t="n">
        <x:v>101.47</x:v>
      </x:c>
      <x:c r="D10" t="n">
        <x:v>86.38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7.41</x:v>
      </x:c>
      <x:c r="C11" t="n">
        <x:v>102.96</x:v>
      </x:c>
      <x:c r="D11" t="n">
        <x:v>88.29</x:v>
      </x:c>
      <x:c r="E11" t="n">
        <x:v>112.6</x:v>
      </x:c>
      <x:c r="F11" t="str">
        <x:v>Low</x:v>
      </x:c>
      <x:c r="G11" t="str">
        <x:v>Economic conditions for demand adjustment</x:v>
      </x:c>
    </x:row>
    <x:row r="12">
      <x:c r="A12" t="n">
        <x:v>45597</x:v>
      </x:c>
      <x:c r="B12" t="n">
        <x:v>7.52</x:v>
      </x:c>
      <x:c r="C12" t="n">
        <x:v>103.99</x:v>
      </x:c>
      <x:c r="D12" t="n">
        <x:v>88.41</x:v>
      </x:c>
      <x:c r="E12" t="n">
        <x:v>113</x:v>
      </x:c>
      <x:c r="F12" t="str">
        <x:v>Medium</x:v>
      </x:c>
      <x:c r="G12" t="str">
        <x:v>Economic conditions for demand adjustment</x:v>
      </x:c>
    </x:row>
    <x:row r="13">
      <x:c r="A13" t="n">
        <x:v>45627</x:v>
      </x:c>
      <x:c r="B13" t="n">
        <x:v>7.05</x:v>
      </x:c>
      <x:c r="C13" t="n">
        <x:v>103.17</x:v>
      </x:c>
      <x:c r="D13" t="n">
        <x:v>88.97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6.35</x:v>
      </x:c>
      <x:c r="C14" t="n">
        <x:v>103.87</x:v>
      </x:c>
      <x:c r="D14" t="n">
        <x:v>90.36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6.61</x:v>
      </x:c>
      <x:c r="C15" t="n">
        <x:v>103.79</x:v>
      </x:c>
      <x:c r="D15" t="n">
        <x:v>89.9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6.42</x:v>
      </x:c>
      <x:c r="C16" t="n">
        <x:v>105.01</x:v>
      </x:c>
      <x:c r="D16" t="n">
        <x:v>90.59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6.08</x:v>
      </x:c>
      <x:c r="C17" t="n">
        <x:v>105.09</x:v>
      </x:c>
      <x:c r="D17" t="n">
        <x:v>91.2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6.4</x:v>
      </x:c>
      <x:c r="C18" t="n">
        <x:v>104.55</x:v>
      </x:c>
      <x:c r="D18" t="n">
        <x:v>90.48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6.59</x:v>
      </x:c>
      <x:c r="C19" t="n">
        <x:v>105.16</x:v>
      </x:c>
      <x:c r="D19" t="n">
        <x:v>90.34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6</x:v>
      </x:c>
      <x:c r="E2" t="n">
        <x:v>7</x:v>
      </x:c>
      <x:c r="F2" t="n">
        <x:v>4</x:v>
      </x:c>
      <x:c r="G2" t="n">
        <x:v>2</x:v>
      </x:c>
      <x:c r="H2" t="n">
        <x:v>19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2</x:v>
      </x:c>
      <x:c r="E3" t="n">
        <x:v>11</x:v>
      </x:c>
      <x:c r="F3" t="n">
        <x:v>5</x:v>
      </x:c>
      <x:c r="G3" t="n">
        <x:v>4</x:v>
      </x:c>
      <x:c r="H3" t="n">
        <x:v>22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6</x:v>
      </x:c>
      <x:c r="E4" t="n">
        <x:v>7</x:v>
      </x:c>
      <x:c r="F4" t="n">
        <x:v>5</x:v>
      </x:c>
      <x:c r="G4" t="n">
        <x:v>4</x:v>
      </x:c>
      <x:c r="H4" t="n">
        <x:v>22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4</x:v>
      </x:c>
      <x:c r="E5" t="n">
        <x:v>12</x:v>
      </x:c>
      <x:c r="F5" t="n">
        <x:v>6</x:v>
      </x:c>
      <x:c r="G5" t="n">
        <x:v>1</x:v>
      </x:c>
      <x:c r="H5" t="n">
        <x:v>23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1836</x:v>
      </x:c>
      <x:c r="C2" t="n">
        <x:v>1847</x:v>
      </x:c>
      <x:c r="D2" t="n">
        <x:f>C2-B2</x:f>
        <x:v>11</x:v>
      </x:c>
      <x:c r="E2" t="n">
        <x:f>ABS(D2)</x:f>
        <x:v>11</x:v>
      </x:c>
      <x:c r="F2" s="22" t="n">
        <x:f>IFERROR(E2/C2,0)</x:f>
        <x:v>0.005955603681645912</x:v>
      </x:c>
      <x:c r="G2" t="str">
        <x:v>Formula columns should calculate error and accuracy</x:v>
      </x:c>
    </x:row>
    <x:row r="3">
      <x:c r="A3" t="n">
        <x:v>45505</x:v>
      </x:c>
      <x:c r="B3" t="n">
        <x:v>1660</x:v>
      </x:c>
      <x:c r="C3" t="n">
        <x:v>1724</x:v>
      </x:c>
      <x:c r="D3" t="n">
        <x:f>C3-B3</x:f>
        <x:v>64</x:v>
      </x:c>
      <x:c r="E3" t="n">
        <x:f>ABS(D3)</x:f>
        <x:v>64</x:v>
      </x:c>
      <x:c r="F3" s="22" t="n">
        <x:f>IFERROR(E3/C3,0)</x:f>
        <x:v>0.037122969837587005</x:v>
      </x:c>
      <x:c r="G3" t="str">
        <x:v>Formula columns should calculate error and accuracy</x:v>
      </x:c>
    </x:row>
    <x:row r="4">
      <x:c r="A4" t="n">
        <x:v>45536</x:v>
      </x:c>
      <x:c r="B4" t="n">
        <x:v>1617</x:v>
      </x:c>
      <x:c r="C4" t="n">
        <x:v>2985</x:v>
      </x:c>
      <x:c r="D4" t="n">
        <x:f>C4-B4</x:f>
        <x:v>1368</x:v>
      </x:c>
      <x:c r="E4" t="n">
        <x:f>ABS(D4)</x:f>
        <x:v>1368</x:v>
      </x:c>
      <x:c r="F4" s="22" t="n">
        <x:f>IFERROR(E4/C4,0)</x:f>
        <x:v>0.45829145728643217</x:v>
      </x:c>
      <x:c r="G4" t="str">
        <x:v>Formula columns should calculate error and accuracy</x:v>
      </x:c>
    </x:row>
    <x:row r="5">
      <x:c r="A5" t="n">
        <x:v>45566</x:v>
      </x:c>
      <x:c r="B5" t="n">
        <x:v>1730</x:v>
      </x:c>
      <x:c r="C5" t="n">
        <x:v>2084</x:v>
      </x:c>
      <x:c r="D5" t="n">
        <x:f>C5-B5</x:f>
        <x:v>354</x:v>
      </x:c>
      <x:c r="E5" t="n">
        <x:f>ABS(D5)</x:f>
        <x:v>354</x:v>
      </x:c>
      <x:c r="F5" s="22" t="n">
        <x:f>IFERROR(E5/C5,0)</x:f>
        <x:v>0.16986564299424184</x:v>
      </x:c>
      <x:c r="G5" t="str">
        <x:v>Formula columns should calculate error and accuracy</x:v>
      </x:c>
    </x:row>
    <x:row r="6">
      <x:c r="A6" t="n">
        <x:v>45597</x:v>
      </x:c>
      <x:c r="B6" t="n">
        <x:v>1906</x:v>
      </x:c>
      <x:c r="C6" t="n">
        <x:v>1911</x:v>
      </x:c>
      <x:c r="D6" t="n">
        <x:f>C6-B6</x:f>
        <x:v>5</x:v>
      </x:c>
      <x:c r="E6" t="n">
        <x:f>ABS(D6)</x:f>
        <x:v>5</x:v>
      </x:c>
      <x:c r="F6" s="22" t="n">
        <x:f>IFERROR(E6/C6,0)</x:f>
        <x:v>0.0026164311878597592</x:v>
      </x:c>
      <x:c r="G6" t="str">
        <x:v>Formula columns should calculate error and accuracy</x:v>
      </x:c>
    </x:row>
    <x:row r="7">
      <x:c r="A7" t="n">
        <x:v>45627</x:v>
      </x:c>
      <x:c r="B7" t="n">
        <x:v>1796</x:v>
      </x:c>
      <x:c r="C7" t="n">
        <x:v>3244</x:v>
      </x:c>
      <x:c r="D7" t="n">
        <x:f>C7-B7</x:f>
        <x:v>1448</x:v>
      </x:c>
      <x:c r="E7" t="n">
        <x:f>ABS(D7)</x:f>
        <x:v>1448</x:v>
      </x:c>
      <x:c r="F7" s="22" t="n">
        <x:f>IFERROR(E7/C7,0)</x:f>
        <x:v>0.44636251541307026</x:v>
      </x:c>
      <x:c r="G7" t="str">
        <x:v>Formula columns should calculate error and accuracy</x:v>
      </x:c>
    </x:row>
    <x:row r="8">
      <x:c r="A8" t="n">
        <x:v>45658</x:v>
      </x:c>
      <x:c r="B8" t="n">
        <x:v>1754</x:v>
      </x:c>
      <x:c r="C8" t="n">
        <x:v>1706</x:v>
      </x:c>
      <x:c r="D8" t="n">
        <x:f>C8-B8</x:f>
        <x:v>-48</x:v>
      </x:c>
      <x:c r="E8" t="n">
        <x:f>ABS(D8)</x:f>
        <x:v>48</x:v>
      </x:c>
      <x:c r="F8" s="22" t="n">
        <x:f>IFERROR(E8/C8,0)</x:f>
        <x:v>0.02813599062133646</x:v>
      </x:c>
      <x:c r="G8" t="str">
        <x:v>Formula columns should calculate error and accuracy</x:v>
      </x:c>
    </x:row>
    <x:row r="9">
      <x:c r="A9" t="n">
        <x:v>45689</x:v>
      </x:c>
      <x:c r="B9" t="n">
        <x:v>1883</x:v>
      </x:c>
      <x:c r="C9" t="n">
        <x:v>1767</x:v>
      </x:c>
      <x:c r="D9" t="n">
        <x:f>C9-B9</x:f>
        <x:v>-116</x:v>
      </x:c>
      <x:c r="E9" t="n">
        <x:f>ABS(D9)</x:f>
        <x:v>116</x:v>
      </x:c>
      <x:c r="F9" s="22" t="n">
        <x:f>IFERROR(E9/C9,0)</x:f>
        <x:v>0.06564799094510469</x:v>
      </x:c>
      <x:c r="G9" t="str">
        <x:v>Formula columns should calculate error and accuracy</x:v>
      </x:c>
    </x:row>
    <x:row r="10">
      <x:c r="A10" t="n">
        <x:v>45717</x:v>
      </x:c>
      <x:c r="B10" t="n">
        <x:v>2051</x:v>
      </x:c>
      <x:c r="C10" t="n">
        <x:v>1700</x:v>
      </x:c>
      <x:c r="D10" t="n">
        <x:f>C10-B10</x:f>
        <x:v>-351</x:v>
      </x:c>
      <x:c r="E10" t="n">
        <x:f>ABS(D10)</x:f>
        <x:v>351</x:v>
      </x:c>
      <x:c r="F10" s="22" t="n">
        <x:f>IFERROR(E10/C10,0)</x:f>
        <x:v>0.20647058823529413</x:v>
      </x:c>
      <x:c r="G10" t="str">
        <x:v>Formula columns should calculate error and accuracy</x:v>
      </x:c>
    </x:row>
    <x:row r="11">
      <x:c r="A11" t="n">
        <x:v>45748</x:v>
      </x:c>
      <x:c r="B11" t="n">
        <x:v>2138</x:v>
      </x:c>
      <x:c r="C11" t="n">
        <x:v>3319</x:v>
      </x:c>
      <x:c r="D11" t="n">
        <x:f>C11-B11</x:f>
        <x:v>1181</x:v>
      </x:c>
      <x:c r="E11" t="n">
        <x:f>ABS(D11)</x:f>
        <x:v>1181</x:v>
      </x:c>
      <x:c r="F11" s="22" t="n">
        <x:f>IFERROR(E11/C11,0)</x:f>
        <x:v>0.35583006929798133</x:v>
      </x:c>
      <x:c r="G11" t="str">
        <x:v>Formula columns should calculate error and accuracy</x:v>
      </x:c>
    </x:row>
    <x:row r="12">
      <x:c r="A12" t="n">
        <x:v>45778</x:v>
      </x:c>
      <x:c r="B12" t="n">
        <x:v>2189</x:v>
      </x:c>
      <x:c r="C12" t="n">
        <x:v>2476</x:v>
      </x:c>
      <x:c r="D12" t="n">
        <x:f>C12-B12</x:f>
        <x:v>287</x:v>
      </x:c>
      <x:c r="E12" t="n">
        <x:f>ABS(D12)</x:f>
        <x:v>287</x:v>
      </x:c>
      <x:c r="F12" s="22" t="n">
        <x:f>IFERROR(E12/C12,0)</x:f>
        <x:v>0.11591276252019386</x:v>
      </x:c>
      <x:c r="G12" t="str">
        <x:v>Formula columns should calculate error and accuracy</x:v>
      </x:c>
    </x:row>
    <x:row r="13">
      <x:c r="A13" t="n">
        <x:v>45809</x:v>
      </x:c>
      <x:c r="B13" t="n">
        <x:v>2270</x:v>
      </x:c>
      <x:c r="C13" t="n">
        <x:v>2688</x:v>
      </x:c>
      <x:c r="D13" t="n">
        <x:f>C13-B13</x:f>
        <x:v>418</x:v>
      </x:c>
      <x:c r="E13" t="n">
        <x:f>ABS(D13)</x:f>
        <x:v>418</x:v>
      </x:c>
      <x:c r="F13" s="22" t="n">
        <x:f>IFERROR(E13/C13,0)</x:f>
        <x:v>0.15550595238095238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100</x:v>
      </x:c>
      <x:c r="E2" t="n">
        <x:v>1697</x:v>
      </x:c>
      <x:c r="F2" t="str">
        <x:v>High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63</x:v>
      </x:c>
      <x:c r="E3" t="n">
        <x:v>1219</x:v>
      </x:c>
      <x:c r="F3" t="str">
        <x:v>Medium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59</x:v>
      </x:c>
      <x:c r="E4" t="n">
        <x:v>1057</x:v>
      </x:c>
      <x:c r="F4" t="str">
        <x:v>Low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67</x:v>
      </x:c>
      <x:c r="E5" t="n">
        <x:v>979</x:v>
      </x:c>
      <x:c r="F5" t="str">
        <x:v>Medium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57</x:v>
      </x:c>
      <x:c r="E6" t="n">
        <x:v>1028</x:v>
      </x:c>
      <x:c r="F6" t="str">
        <x:v>Low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88</x:v>
      </x:c>
      <x:c r="E7" t="n">
        <x:v>1687</x:v>
      </x:c>
      <x:c r="F7" t="str">
        <x:v>High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94</x:v>
      </x:c>
      <x:c r="E8" t="n">
        <x:v>1725</x:v>
      </x:c>
      <x:c r="F8" t="str">
        <x:v>High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53</x:v>
      </x:c>
      <x:c r="E9" t="n">
        <x:v>959</x:v>
      </x:c>
      <x:c r="F9" t="str">
        <x:v>Low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Weekly</x:v>
      </x:c>
      <x:c r="E2" t="n">
        <x:v>5</x:v>
      </x:c>
      <x:c r="F2" t="n">
        <x:v>5029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Weekly</x:v>
      </x:c>
      <x:c r="E3" t="n">
        <x:v>6</x:v>
      </x:c>
      <x:c r="F3" t="n">
        <x:v>5875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Weekly</x:v>
      </x:c>
      <x:c r="E4" t="n">
        <x:v>5</x:v>
      </x:c>
      <x:c r="F4" t="n">
        <x:v>3934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Festival-based</x:v>
      </x:c>
      <x:c r="E5" t="n">
        <x:v>3</x:v>
      </x:c>
      <x:c r="F5" t="n">
        <x:v>2182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Monthly</x:v>
      </x:c>
      <x:c r="E6" t="n">
        <x:v>9</x:v>
      </x:c>
      <x:c r="F6" t="n">
        <x:v>7829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119</x:v>
      </x:c>
      <x:c r="F2" t="n">
        <x:v>80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85</x:v>
      </x:c>
      <x:c r="F3" t="n">
        <x:v>96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71</x:v>
      </x:c>
      <x:c r="F4" t="n">
        <x:v>95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14</x:v>
      </x:c>
      <x:c r="F5" t="n">
        <x:v>83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Milk Powder Diploma Grocery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Milk Powder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Grocery competitor pricing promotions Bangladesh Diploma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Milk Powder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87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70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85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63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intentional data quality issue. Clean scenario.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