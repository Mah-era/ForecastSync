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8878c248ef40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enario_Info" sheetId="1" r:id="R3c3092057356419f"/>
    <x:sheet xmlns:r="http://schemas.openxmlformats.org/officeDocument/2006/relationships" name="Historical_Sales" sheetId="2" r:id="Rdeb8f4517d8b4932"/>
    <x:sheet xmlns:r="http://schemas.openxmlformats.org/officeDocument/2006/relationships" name="Inventory" sheetId="3" r:id="Rdf4d8e985dfd4a96"/>
    <x:sheet xmlns:r="http://schemas.openxmlformats.org/officeDocument/2006/relationships" name="Promotions" sheetId="4" r:id="R14f99891d06e426e"/>
    <x:sheet xmlns:r="http://schemas.openxmlformats.org/officeDocument/2006/relationships" name="Competitors" sheetId="5" r:id="R6a6bf98b76e94879"/>
    <x:sheet xmlns:r="http://schemas.openxmlformats.org/officeDocument/2006/relationships" name="Economic" sheetId="6" r:id="R5b3c1d25626b422d"/>
    <x:sheet xmlns:r="http://schemas.openxmlformats.org/officeDocument/2006/relationships" name="Lead_Time" sheetId="7" r:id="Rfb5be63e561643c4"/>
    <x:sheet xmlns:r="http://schemas.openxmlformats.org/officeDocument/2006/relationships" name="Forecast_Actual" sheetId="8" r:id="Re3e73ac552094dae"/>
    <x:sheet xmlns:r="http://schemas.openxmlformats.org/officeDocument/2006/relationships" name="Regional_Demand_Map" sheetId="9" r:id="Rca86b37641d347cb"/>
    <x:sheet xmlns:r="http://schemas.openxmlformats.org/officeDocument/2006/relationships" name="SCM_Flow_Map" sheetId="10" r:id="R0eda8c27708c4b24"/>
    <x:sheet xmlns:r="http://schemas.openxmlformats.org/officeDocument/2006/relationships" name="Customer_Patterns" sheetId="11" r:id="Ra913930ffcd04903"/>
    <x:sheet xmlns:r="http://schemas.openxmlformats.org/officeDocument/2006/relationships" name="Technology_Data" sheetId="12" r:id="R4acb12deebc54e8e"/>
    <x:sheet xmlns:r="http://schemas.openxmlformats.org/officeDocument/2006/relationships" name="Web_Search_Seeds" sheetId="13" r:id="R0be35ccaf499470c"/>
    <x:sheet xmlns:r="http://schemas.openxmlformats.org/officeDocument/2006/relationships" name="Manual_Expert_Opinion" sheetId="14" r:id="Rd39708444e804922"/>
    <x:sheet xmlns:r="http://schemas.openxmlformats.org/officeDocument/2006/relationships" name="Data_Issues" sheetId="15" r:id="R4f4cddcb030d4a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%"/>
  </x:numFmts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F4E79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910bc668849fb" /><Relationship Type="http://schemas.openxmlformats.org/officeDocument/2006/relationships/theme" Target="/xl/theme/theme1.xml" Id="Re1b8abd64cfa4a91" /><Relationship Type="http://schemas.openxmlformats.org/officeDocument/2006/relationships/sharedStrings" Target="/xl/sharedStrings.xml" Id="Rc37a9f6ac9e34b98" /><Relationship Type="http://schemas.openxmlformats.org/officeDocument/2006/relationships/worksheet" Target="/xl/worksheets/sheet1.xml" Id="R3c3092057356419f" /><Relationship Type="http://schemas.openxmlformats.org/officeDocument/2006/relationships/worksheet" Target="/xl/worksheets/sheet2.xml" Id="Rdeb8f4517d8b4932" /><Relationship Type="http://schemas.openxmlformats.org/officeDocument/2006/relationships/worksheet" Target="/xl/worksheets/sheet3.xml" Id="Rdf4d8e985dfd4a96" /><Relationship Type="http://schemas.openxmlformats.org/officeDocument/2006/relationships/worksheet" Target="/xl/worksheets/sheet4.xml" Id="R14f99891d06e426e" /><Relationship Type="http://schemas.openxmlformats.org/officeDocument/2006/relationships/worksheet" Target="/xl/worksheets/sheet5.xml" Id="R6a6bf98b76e94879" /><Relationship Type="http://schemas.openxmlformats.org/officeDocument/2006/relationships/worksheet" Target="/xl/worksheets/sheet6.xml" Id="R5b3c1d25626b422d" /><Relationship Type="http://schemas.openxmlformats.org/officeDocument/2006/relationships/worksheet" Target="/xl/worksheets/sheet7.xml" Id="Rfb5be63e561643c4" /><Relationship Type="http://schemas.openxmlformats.org/officeDocument/2006/relationships/worksheet" Target="/xl/worksheets/sheet8.xml" Id="Re3e73ac552094dae" /><Relationship Type="http://schemas.openxmlformats.org/officeDocument/2006/relationships/worksheet" Target="/xl/worksheets/sheet9.xml" Id="Rca86b37641d347cb" /><Relationship Type="http://schemas.openxmlformats.org/officeDocument/2006/relationships/worksheet" Target="/xl/worksheets/sheet10.xml" Id="R0eda8c27708c4b24" /><Relationship Type="http://schemas.openxmlformats.org/officeDocument/2006/relationships/worksheet" Target="/xl/worksheets/sheet11.xml" Id="Ra913930ffcd04903" /><Relationship Type="http://schemas.openxmlformats.org/officeDocument/2006/relationships/worksheet" Target="/xl/worksheets/sheet12.xml" Id="R4acb12deebc54e8e" /><Relationship Type="http://schemas.openxmlformats.org/officeDocument/2006/relationships/worksheet" Target="/xl/worksheets/sheet13.xml" Id="R0be35ccaf499470c" /><Relationship Type="http://schemas.openxmlformats.org/officeDocument/2006/relationships/worksheet" Target="/xl/worksheets/sheet14.xml" Id="Rd39708444e804922" /><Relationship Type="http://schemas.openxmlformats.org/officeDocument/2006/relationships/worksheet" Target="/xl/worksheets/sheet15.xml" Id="R4f4cddcb030d4a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6" t="str">
        <x:v>Field</x:v>
      </x:c>
      <x:c r="B1" s="6" t="str">
        <x:v>Value</x:v>
      </x:c>
    </x:row>
    <x:row r="2">
      <x:c r="A2" t="str">
        <x:v>Scenario ID</x:v>
      </x:c>
      <x:c r="B2" t="str">
        <x:v>DPF-22</x:v>
      </x:c>
    </x:row>
    <x:row r="3">
      <x:c r="A3" t="str">
        <x:v>Scenario Title</x:v>
      </x:c>
      <x:c r="B3" t="str">
        <x:v>Bangladesh Regional Demand Map</x:v>
      </x:c>
    </x:row>
    <x:row r="4">
      <x:c r="A4" t="str">
        <x:v>Purpose</x:v>
      </x:c>
      <x:c r="B4" t="str">
        <x:v>Test map/dashboard by division.</x:v>
      </x:c>
    </x:row>
    <x:row r="5">
      <x:c r="A5" t="str">
        <x:v>Product Name</x:v>
      </x:c>
      <x:c r="B5" t="str">
        <x:v>Biscuit Pack</x:v>
      </x:c>
    </x:row>
    <x:row r="6">
      <x:c r="A6" t="str">
        <x:v>Category</x:v>
      </x:c>
      <x:c r="B6" t="str">
        <x:v>Food</x:v>
      </x:c>
    </x:row>
    <x:row r="7">
      <x:c r="A7" t="str">
        <x:v>Brand</x:v>
      </x:c>
      <x:c r="B7" t="str">
        <x:v>Olympic</x:v>
      </x:c>
    </x:row>
    <x:row r="8">
      <x:c r="A8" t="str">
        <x:v>Expected App Behavior</x:v>
      </x:c>
      <x:c r="B8" t="str">
        <x:v>App should ingest data, run selected modules, generate dashboard outputs and export report.</x:v>
      </x:c>
    </x:row>
    <x:row r="9">
      <x:c r="A9" t="str">
        <x:v>Data Quality</x:v>
      </x:c>
      <x:c r="B9" t="str">
        <x:v>Clean</x:v>
      </x:c>
    </x:row>
    <x:row r="10">
      <x:c r="A10" t="str">
        <x:v>Modules Covered</x:v>
      </x:c>
      <x:c r="B10" t="str">
        <x:v>Customer Demand Patterns, Regional Demand Map</x:v>
      </x:c>
    </x:row>
    <x:row r="11">
      <x:c r="A11" t="str">
        <x:v>Recommended Inputs To Tick</x:v>
      </x:c>
      <x:c r="B11" t="str">
        <x:v>Customer Demand Patterns, Historical Sales Data</x:v>
      </x:c>
    </x:row>
    <x:row r="12">
      <x:c r="A12" t="str">
        <x:v>Recommended Outputs To Tick</x:v>
      </x:c>
      <x:c r="B12" t="str">
        <x:v>Customer Demand Pattern, Regional Demand Map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6" hidden="0" customWidth="1"/>
    <x:col min="10" max="10" width="38" hidden="0" customWidth="1"/>
  </x:cols>
  <x:sheetData>
    <x:row r="1">
      <x:c r="A1" s="16" t="str">
        <x:v>Month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Channel</x:v>
      </x:c>
      <x:c r="G1" s="16" t="str">
        <x:v>UnitsSold</x:v>
      </x:c>
      <x:c r="H1" s="16" t="str">
        <x:v>UnitPriceBDT</x:v>
      </x:c>
      <x:c r="I1" s="16" t="str">
        <x:v>RevenueBDT</x:v>
      </x:c>
      <x:c r="J1" s="16" t="str">
        <x:v>Notes</x:v>
      </x:c>
    </x:row>
    <x:row r="2">
      <x:c r="A2" t="n">
        <x:v>45292</x:v>
      </x:c>
      <x:c r="B2" t="str">
        <x:v>Biscuit Pack</x:v>
      </x:c>
      <x:c r="C2" t="str">
        <x:v>Food</x:v>
      </x:c>
      <x:c r="D2" t="str">
        <x:v>Olympic</x:v>
      </x:c>
      <x:c r="E2" t="str">
        <x:v>Dhaka</x:v>
      </x:c>
      <x:c r="F2" t="str">
        <x:v>Retail</x:v>
      </x:c>
      <x:c r="G2" t="n">
        <x:v>3927</x:v>
      </x:c>
      <x:c r="H2" t="n">
        <x:v>25</x:v>
      </x:c>
      <x:c r="I2" t="n">
        <x:v>98175</x:v>
      </x:c>
      <x:c r="J2" t="str"/>
    </x:row>
    <x:row r="3">
      <x:c r="A3" t="n">
        <x:v>45323</x:v>
      </x:c>
      <x:c r="B3" t="str">
        <x:v>Biscuit Pack</x:v>
      </x:c>
      <x:c r="C3" t="str">
        <x:v>Food</x:v>
      </x:c>
      <x:c r="D3" t="str">
        <x:v>Olympic</x:v>
      </x:c>
      <x:c r="E3" t="str">
        <x:v>Chattogram</x:v>
      </x:c>
      <x:c r="F3" t="str">
        <x:v>Online</x:v>
      </x:c>
      <x:c r="G3" t="n">
        <x:v>3417</x:v>
      </x:c>
      <x:c r="H3" t="n">
        <x:v>25</x:v>
      </x:c>
      <x:c r="I3" t="n">
        <x:v>85425</x:v>
      </x:c>
      <x:c r="J3" t="str"/>
    </x:row>
    <x:row r="4">
      <x:c r="A4" t="n">
        <x:v>45352</x:v>
      </x:c>
      <x:c r="B4" t="str">
        <x:v>Biscuit Pack</x:v>
      </x:c>
      <x:c r="C4" t="str">
        <x:v>Food</x:v>
      </x:c>
      <x:c r="D4" t="str">
        <x:v>Olympic</x:v>
      </x:c>
      <x:c r="E4" t="str">
        <x:v>Sylhet</x:v>
      </x:c>
      <x:c r="F4" t="str">
        <x:v>Wholesale</x:v>
      </x:c>
      <x:c r="G4" t="n">
        <x:v>3703</x:v>
      </x:c>
      <x:c r="H4" t="n">
        <x:v>25</x:v>
      </x:c>
      <x:c r="I4" t="n">
        <x:v>92575</x:v>
      </x:c>
      <x:c r="J4" t="str"/>
    </x:row>
    <x:row r="5">
      <x:c r="A5" t="n">
        <x:v>45383</x:v>
      </x:c>
      <x:c r="B5" t="str">
        <x:v>Biscuit Pack</x:v>
      </x:c>
      <x:c r="C5" t="str">
        <x:v>Food</x:v>
      </x:c>
      <x:c r="D5" t="str">
        <x:v>Olympic</x:v>
      </x:c>
      <x:c r="E5" t="str">
        <x:v>Rajshahi</x:v>
      </x:c>
      <x:c r="F5" t="str">
        <x:v>Modern Trade</x:v>
      </x:c>
      <x:c r="G5" t="n">
        <x:v>3707</x:v>
      </x:c>
      <x:c r="H5" t="n">
        <x:v>25</x:v>
      </x:c>
      <x:c r="I5" t="n">
        <x:v>92675</x:v>
      </x:c>
      <x:c r="J5" t="str"/>
    </x:row>
    <x:row r="6">
      <x:c r="A6" t="n">
        <x:v>45413</x:v>
      </x:c>
      <x:c r="B6" t="str">
        <x:v>Biscuit Pack</x:v>
      </x:c>
      <x:c r="C6" t="str">
        <x:v>Food</x:v>
      </x:c>
      <x:c r="D6" t="str">
        <x:v>Olympic</x:v>
      </x:c>
      <x:c r="E6" t="str">
        <x:v>Khulna</x:v>
      </x:c>
      <x:c r="F6" t="str">
        <x:v>Retail</x:v>
      </x:c>
      <x:c r="G6" t="n">
        <x:v>4257</x:v>
      </x:c>
      <x:c r="H6" t="n">
        <x:v>25</x:v>
      </x:c>
      <x:c r="I6" t="n">
        <x:v>106425</x:v>
      </x:c>
      <x:c r="J6" t="str"/>
    </x:row>
    <x:row r="7">
      <x:c r="A7" t="n">
        <x:v>45444</x:v>
      </x:c>
      <x:c r="B7" t="str">
        <x:v>Biscuit Pack</x:v>
      </x:c>
      <x:c r="C7" t="str">
        <x:v>Food</x:v>
      </x:c>
      <x:c r="D7" t="str">
        <x:v>Olympic</x:v>
      </x:c>
      <x:c r="E7" t="str">
        <x:v>Barishal</x:v>
      </x:c>
      <x:c r="F7" t="str">
        <x:v>Online</x:v>
      </x:c>
      <x:c r="G7" t="n">
        <x:v>4258</x:v>
      </x:c>
      <x:c r="H7" t="n">
        <x:v>25</x:v>
      </x:c>
      <x:c r="I7" t="n">
        <x:v>106450</x:v>
      </x:c>
      <x:c r="J7" t="str"/>
    </x:row>
    <x:row r="8">
      <x:c r="A8" t="n">
        <x:v>45474</x:v>
      </x:c>
      <x:c r="B8" t="str">
        <x:v>Biscuit Pack</x:v>
      </x:c>
      <x:c r="C8" t="str">
        <x:v>Food</x:v>
      </x:c>
      <x:c r="D8" t="str">
        <x:v>Olympic</x:v>
      </x:c>
      <x:c r="E8" t="str">
        <x:v>Rangpur</x:v>
      </x:c>
      <x:c r="F8" t="str">
        <x:v>Wholesale</x:v>
      </x:c>
      <x:c r="G8" t="n">
        <x:v>4532</x:v>
      </x:c>
      <x:c r="H8" t="n">
        <x:v>25</x:v>
      </x:c>
      <x:c r="I8" t="n">
        <x:v>113300</x:v>
      </x:c>
      <x:c r="J8" t="str"/>
    </x:row>
    <x:row r="9">
      <x:c r="A9" t="n">
        <x:v>45505</x:v>
      </x:c>
      <x:c r="B9" t="str">
        <x:v>Biscuit Pack</x:v>
      </x:c>
      <x:c r="C9" t="str">
        <x:v>Food</x:v>
      </x:c>
      <x:c r="D9" t="str">
        <x:v>Olympic</x:v>
      </x:c>
      <x:c r="E9" t="str">
        <x:v>Mymensingh</x:v>
      </x:c>
      <x:c r="F9" t="str">
        <x:v>Modern Trade</x:v>
      </x:c>
      <x:c r="G9" t="n">
        <x:v>3783</x:v>
      </x:c>
      <x:c r="H9" t="n">
        <x:v>25</x:v>
      </x:c>
      <x:c r="I9" t="n">
        <x:v>94575</x:v>
      </x:c>
      <x:c r="J9" t="str"/>
    </x:row>
    <x:row r="10">
      <x:c r="A10" t="n">
        <x:v>45536</x:v>
      </x:c>
      <x:c r="B10" t="str">
        <x:v>Biscuit Pack</x:v>
      </x:c>
      <x:c r="C10" t="str">
        <x:v>Food</x:v>
      </x:c>
      <x:c r="D10" t="str">
        <x:v>Olympic</x:v>
      </x:c>
      <x:c r="E10" t="str">
        <x:v>Dhaka</x:v>
      </x:c>
      <x:c r="F10" t="str">
        <x:v>Retail</x:v>
      </x:c>
      <x:c r="G10" t="n">
        <x:v>4176</x:v>
      </x:c>
      <x:c r="H10" t="n">
        <x:v>25</x:v>
      </x:c>
      <x:c r="I10" t="n">
        <x:v>104400</x:v>
      </x:c>
      <x:c r="J10" t="str"/>
    </x:row>
    <x:row r="11">
      <x:c r="A11" t="n">
        <x:v>45566</x:v>
      </x:c>
      <x:c r="B11" t="str">
        <x:v>Biscuit Pack</x:v>
      </x:c>
      <x:c r="C11" t="str">
        <x:v>Food</x:v>
      </x:c>
      <x:c r="D11" t="str">
        <x:v>Olympic</x:v>
      </x:c>
      <x:c r="E11" t="str">
        <x:v>Chattogram</x:v>
      </x:c>
      <x:c r="F11" t="str">
        <x:v>Online</x:v>
      </x:c>
      <x:c r="G11" t="n">
        <x:v>3826</x:v>
      </x:c>
      <x:c r="H11" t="n">
        <x:v>25</x:v>
      </x:c>
      <x:c r="I11" t="n">
        <x:v>95650</x:v>
      </x:c>
      <x:c r="J11" t="str"/>
    </x:row>
    <x:row r="12">
      <x:c r="A12" t="n">
        <x:v>45597</x:v>
      </x:c>
      <x:c r="B12" t="str">
        <x:v>Biscuit Pack</x:v>
      </x:c>
      <x:c r="C12" t="str">
        <x:v>Food</x:v>
      </x:c>
      <x:c r="D12" t="str">
        <x:v>Olympic</x:v>
      </x:c>
      <x:c r="E12" t="str">
        <x:v>Sylhet</x:v>
      </x:c>
      <x:c r="F12" t="str">
        <x:v>Wholesale</x:v>
      </x:c>
      <x:c r="G12" t="n">
        <x:v>4075</x:v>
      </x:c>
      <x:c r="H12" t="n">
        <x:v>25</x:v>
      </x:c>
      <x:c r="I12" t="n">
        <x:v>101875</x:v>
      </x:c>
      <x:c r="J12" t="str"/>
    </x:row>
    <x:row r="13">
      <x:c r="A13" t="n">
        <x:v>45627</x:v>
      </x:c>
      <x:c r="B13" t="str">
        <x:v>Biscuit Pack</x:v>
      </x:c>
      <x:c r="C13" t="str">
        <x:v>Food</x:v>
      </x:c>
      <x:c r="D13" t="str">
        <x:v>Olympic</x:v>
      </x:c>
      <x:c r="E13" t="str">
        <x:v>Rajshahi</x:v>
      </x:c>
      <x:c r="F13" t="str">
        <x:v>Modern Trade</x:v>
      </x:c>
      <x:c r="G13" t="n">
        <x:v>4433</x:v>
      </x:c>
      <x:c r="H13" t="n">
        <x:v>25</x:v>
      </x:c>
      <x:c r="I13" t="n">
        <x:v>110825</x:v>
      </x:c>
      <x:c r="J13" t="str"/>
    </x:row>
    <x:row r="14">
      <x:c r="A14" t="n">
        <x:v>45658</x:v>
      </x:c>
      <x:c r="B14" t="str">
        <x:v>Biscuit Pack</x:v>
      </x:c>
      <x:c r="C14" t="str">
        <x:v>Food</x:v>
      </x:c>
      <x:c r="D14" t="str">
        <x:v>Olympic</x:v>
      </x:c>
      <x:c r="E14" t="str">
        <x:v>Khulna</x:v>
      </x:c>
      <x:c r="F14" t="str">
        <x:v>Retail</x:v>
      </x:c>
      <x:c r="G14" t="n">
        <x:v>3974</x:v>
      </x:c>
      <x:c r="H14" t="n">
        <x:v>25</x:v>
      </x:c>
      <x:c r="I14" t="n">
        <x:v>99350</x:v>
      </x:c>
      <x:c r="J14" t="str"/>
    </x:row>
    <x:row r="15">
      <x:c r="A15" t="n">
        <x:v>45689</x:v>
      </x:c>
      <x:c r="B15" t="str">
        <x:v>Biscuit Pack</x:v>
      </x:c>
      <x:c r="C15" t="str">
        <x:v>Food</x:v>
      </x:c>
      <x:c r="D15" t="str">
        <x:v>Olympic</x:v>
      </x:c>
      <x:c r="E15" t="str">
        <x:v>Barishal</x:v>
      </x:c>
      <x:c r="F15" t="str">
        <x:v>Online</x:v>
      </x:c>
      <x:c r="G15" t="n">
        <x:v>4213</x:v>
      </x:c>
      <x:c r="H15" t="n">
        <x:v>25</x:v>
      </x:c>
      <x:c r="I15" t="n">
        <x:v>105325</x:v>
      </x:c>
      <x:c r="J15" t="str"/>
    </x:row>
    <x:row r="16">
      <x:c r="A16" t="n">
        <x:v>45717</x:v>
      </x:c>
      <x:c r="B16" t="str">
        <x:v>Biscuit Pack</x:v>
      </x:c>
      <x:c r="C16" t="str">
        <x:v>Food</x:v>
      </x:c>
      <x:c r="D16" t="str">
        <x:v>Olympic</x:v>
      </x:c>
      <x:c r="E16" t="str">
        <x:v>Rangpur</x:v>
      </x:c>
      <x:c r="F16" t="str">
        <x:v>Wholesale</x:v>
      </x:c>
      <x:c r="G16" t="n">
        <x:v>4763</x:v>
      </x:c>
      <x:c r="H16" t="n">
        <x:v>25</x:v>
      </x:c>
      <x:c r="I16" t="n">
        <x:v>119075</x:v>
      </x:c>
      <x:c r="J16" t="str"/>
    </x:row>
    <x:row r="17">
      <x:c r="A17" t="n">
        <x:v>45748</x:v>
      </x:c>
      <x:c r="B17" t="str">
        <x:v>Biscuit Pack</x:v>
      </x:c>
      <x:c r="C17" t="str">
        <x:v>Food</x:v>
      </x:c>
      <x:c r="D17" t="str">
        <x:v>Olympic</x:v>
      </x:c>
      <x:c r="E17" t="str">
        <x:v>Mymensingh</x:v>
      </x:c>
      <x:c r="F17" t="str">
        <x:v>Modern Trade</x:v>
      </x:c>
      <x:c r="G17" t="n">
        <x:v>4705</x:v>
      </x:c>
      <x:c r="H17" t="n">
        <x:v>25</x:v>
      </x:c>
      <x:c r="I17" t="n">
        <x:v>117625</x:v>
      </x:c>
      <x:c r="J17" t="str"/>
    </x:row>
    <x:row r="18">
      <x:c r="A18" t="n">
        <x:v>45778</x:v>
      </x:c>
      <x:c r="B18" t="str">
        <x:v>Biscuit Pack</x:v>
      </x:c>
      <x:c r="C18" t="str">
        <x:v>Food</x:v>
      </x:c>
      <x:c r="D18" t="str">
        <x:v>Olympic</x:v>
      </x:c>
      <x:c r="E18" t="str">
        <x:v>Dhaka</x:v>
      </x:c>
      <x:c r="F18" t="str">
        <x:v>Retail</x:v>
      </x:c>
      <x:c r="G18" t="n">
        <x:v>4396</x:v>
      </x:c>
      <x:c r="H18" t="n">
        <x:v>25</x:v>
      </x:c>
      <x:c r="I18" t="n">
        <x:v>109900</x:v>
      </x:c>
      <x:c r="J18" t="str"/>
    </x:row>
    <x:row r="19">
      <x:c r="A19" t="n">
        <x:v>45809</x:v>
      </x:c>
      <x:c r="B19" t="str">
        <x:v>Biscuit Pack</x:v>
      </x:c>
      <x:c r="C19" t="str">
        <x:v>Food</x:v>
      </x:c>
      <x:c r="D19" t="str">
        <x:v>Olympic</x:v>
      </x:c>
      <x:c r="E19" t="str">
        <x:v>Chattogram</x:v>
      </x:c>
      <x:c r="F19" t="str">
        <x:v>Online</x:v>
      </x:c>
      <x:c r="G19" t="n">
        <x:v>4871</x:v>
      </x:c>
      <x:c r="H19" t="n">
        <x:v>25</x:v>
      </x:c>
      <x:c r="I19" t="n">
        <x:v>121775</x:v>
      </x:c>
      <x:c r="J19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  <x:col min="11" max="11" width="14" hidden="0" customWidth="1"/>
    <x:col min="12" max="12" width="14" hidden="0" customWidth="1"/>
    <x:col min="13" max="13" width="18" hidden="0" customWidth="1"/>
  </x:cols>
  <x:sheetData>
    <x:row r="1">
      <x:c r="A1" s="16" t="str">
        <x:v>SKU</x:v>
      </x:c>
      <x:c r="B1" s="16" t="str">
        <x:v>ProductName</x:v>
      </x:c>
      <x:c r="C1" s="16" t="str">
        <x:v>Category</x:v>
      </x:c>
      <x:c r="D1" s="16" t="str">
        <x:v>Brand</x:v>
      </x:c>
      <x:c r="E1" s="16" t="str">
        <x:v>Region</x:v>
      </x:c>
      <x:c r="F1" s="16" t="str">
        <x:v>Warehouse</x:v>
      </x:c>
      <x:c r="G1" s="16" t="str">
        <x:v>CurrentStock</x:v>
      </x:c>
      <x:c r="H1" s="16" t="str">
        <x:v>SafetyStock</x:v>
      </x:c>
      <x:c r="I1" s="16" t="str">
        <x:v>ReorderPoint</x:v>
      </x:c>
      <x:c r="J1" s="16" t="str">
        <x:v>StockInTransit</x:v>
      </x:c>
      <x:c r="K1" s="16" t="str">
        <x:v>UnitCostBDT</x:v>
      </x:c>
      <x:c r="L1" s="16" t="str">
        <x:v>LastUpdated</x:v>
      </x:c>
      <x:c r="M1" s="16" t="str">
        <x:v>InventoryStatus</x:v>
      </x:c>
    </x:row>
    <x:row r="2">
      <x:c r="A2" t="str">
        <x:v>OLY-DPF-22-01</x:v>
      </x:c>
      <x:c r="B2" t="str">
        <x:v>Biscuit Pack</x:v>
      </x:c>
      <x:c r="C2" t="str">
        <x:v>Food</x:v>
      </x:c>
      <x:c r="D2" t="str">
        <x:v>Olympic</x:v>
      </x:c>
      <x:c r="E2" t="str">
        <x:v>Dhaka</x:v>
      </x:c>
      <x:c r="F2" t="str">
        <x:v>Dhaka DC</x:v>
      </x:c>
      <x:c r="G2" t="n">
        <x:v>3202</x:v>
      </x:c>
      <x:c r="H2" t="n">
        <x:v>442</x:v>
      </x:c>
      <x:c r="I2" t="n">
        <x:v>1260</x:v>
      </x:c>
      <x:c r="J2" t="n">
        <x:v>459</x:v>
      </x:c>
      <x:c r="K2" t="n">
        <x:v>120</x:v>
      </x:c>
      <x:c r="L2" t="n">
        <x:v>45672</x:v>
      </x:c>
      <x:c r="M2" t="str">
        <x:v>Overstock Risk</x:v>
      </x:c>
    </x:row>
    <x:row r="3">
      <x:c r="A3" t="str">
        <x:v>OLY-DPF-22-02</x:v>
      </x:c>
      <x:c r="B3" t="str">
        <x:v>Biscuit Pack</x:v>
      </x:c>
      <x:c r="C3" t="str">
        <x:v>Food</x:v>
      </x:c>
      <x:c r="D3" t="str">
        <x:v>Olympic</x:v>
      </x:c>
      <x:c r="E3" t="str">
        <x:v>Chattogram</x:v>
      </x:c>
      <x:c r="F3" t="str">
        <x:v>Chattogram DC</x:v>
      </x:c>
      <x:c r="G3" t="n">
        <x:v>1853</x:v>
      </x:c>
      <x:c r="H3" t="n">
        <x:v>483</x:v>
      </x:c>
      <x:c r="I3" t="n">
        <x:v>1349</x:v>
      </x:c>
      <x:c r="J3" t="n">
        <x:v>260</x:v>
      </x:c>
      <x:c r="K3" t="n">
        <x:v>120</x:v>
      </x:c>
      <x:c r="L3" t="n">
        <x:v>45673</x:v>
      </x:c>
      <x:c r="M3" t="str">
        <x:v>OK</x:v>
      </x:c>
    </x:row>
    <x:row r="4">
      <x:c r="A4" t="str">
        <x:v>OLY-DPF-22-03</x:v>
      </x:c>
      <x:c r="B4" t="str">
        <x:v>Biscuit Pack</x:v>
      </x:c>
      <x:c r="C4" t="str">
        <x:v>Food</x:v>
      </x:c>
      <x:c r="D4" t="str">
        <x:v>Olympic</x:v>
      </x:c>
      <x:c r="E4" t="str">
        <x:v>Sylhet</x:v>
      </x:c>
      <x:c r="F4" t="str">
        <x:v>Sylhet DC</x:v>
      </x:c>
      <x:c r="G4" t="n">
        <x:v>1142</x:v>
      </x:c>
      <x:c r="H4" t="n">
        <x:v>467</x:v>
      </x:c>
      <x:c r="I4" t="n">
        <x:v>1298</x:v>
      </x:c>
      <x:c r="J4" t="n">
        <x:v>407</x:v>
      </x:c>
      <x:c r="K4" t="n">
        <x:v>120</x:v>
      </x:c>
      <x:c r="L4" t="n">
        <x:v>45674</x:v>
      </x:c>
      <x:c r="M4" t="str">
        <x:v>Reorder Needed</x:v>
      </x:c>
    </x:row>
    <x:row r="5">
      <x:c r="A5" t="str">
        <x:v>OLY-DPF-22-04</x:v>
      </x:c>
      <x:c r="B5" t="str">
        <x:v>Biscuit Pack</x:v>
      </x:c>
      <x:c r="C5" t="str">
        <x:v>Food</x:v>
      </x:c>
      <x:c r="D5" t="str">
        <x:v>Olympic</x:v>
      </x:c>
      <x:c r="E5" t="str">
        <x:v>Rajshahi</x:v>
      </x:c>
      <x:c r="F5" t="str">
        <x:v>Rajshahi DC</x:v>
      </x:c>
      <x:c r="G5" t="n">
        <x:v>3195</x:v>
      </x:c>
      <x:c r="H5" t="n">
        <x:v>641</x:v>
      </x:c>
      <x:c r="I5" t="n">
        <x:v>1373</x:v>
      </x:c>
      <x:c r="J5" t="n">
        <x:v>610</x:v>
      </x:c>
      <x:c r="K5" t="n">
        <x:v>120</x:v>
      </x:c>
      <x:c r="L5" t="n">
        <x:v>45675</x:v>
      </x:c>
      <x:c r="M5" t="str">
        <x:v>Overstock Risk</x:v>
      </x:c>
    </x:row>
    <x:row r="6">
      <x:c r="A6" t="str">
        <x:v>OLY-DPF-22-05</x:v>
      </x:c>
      <x:c r="B6" t="str">
        <x:v>Biscuit Pack</x:v>
      </x:c>
      <x:c r="C6" t="str">
        <x:v>Food</x:v>
      </x:c>
      <x:c r="D6" t="str">
        <x:v>Olympic</x:v>
      </x:c>
      <x:c r="E6" t="str">
        <x:v>Khulna</x:v>
      </x:c>
      <x:c r="F6" t="str">
        <x:v>Khulna DC</x:v>
      </x:c>
      <x:c r="G6" t="n">
        <x:v>1963</x:v>
      </x:c>
      <x:c r="H6" t="n">
        <x:v>592</x:v>
      </x:c>
      <x:c r="I6" t="n">
        <x:v>1417</x:v>
      </x:c>
      <x:c r="J6" t="n">
        <x:v>415</x:v>
      </x:c>
      <x:c r="K6" t="n">
        <x:v>120</x:v>
      </x:c>
      <x:c r="L6" t="n">
        <x:v>45676</x:v>
      </x:c>
      <x:c r="M6" t="str">
        <x:v>OK</x:v>
      </x:c>
    </x:row>
    <x:row r="7">
      <x:c r="A7" t="str">
        <x:v>OLY-DPF-22-06</x:v>
      </x:c>
      <x:c r="B7" t="str">
        <x:v>Biscuit Pack</x:v>
      </x:c>
      <x:c r="C7" t="str">
        <x:v>Food</x:v>
      </x:c>
      <x:c r="D7" t="str">
        <x:v>Olympic</x:v>
      </x:c>
      <x:c r="E7" t="str">
        <x:v>Barishal</x:v>
      </x:c>
      <x:c r="F7" t="str">
        <x:v>Barishal DC</x:v>
      </x:c>
      <x:c r="G7" t="n">
        <x:v>3352</x:v>
      </x:c>
      <x:c r="H7" t="n">
        <x:v>599</x:v>
      </x:c>
      <x:c r="I7" t="n">
        <x:v>1384</x:v>
      </x:c>
      <x:c r="J7" t="n">
        <x:v>100</x:v>
      </x:c>
      <x:c r="K7" t="n">
        <x:v>120</x:v>
      </x:c>
      <x:c r="L7" t="n">
        <x:v>45677</x:v>
      </x:c>
      <x:c r="M7" t="str">
        <x:v>Overstock Risk</x:v>
      </x:c>
    </x:row>
    <x:row r="8">
      <x:c r="A8" t="str">
        <x:v>OLY-DPF-22-07</x:v>
      </x:c>
      <x:c r="B8" t="str">
        <x:v>Biscuit Pack</x:v>
      </x:c>
      <x:c r="C8" t="str">
        <x:v>Food</x:v>
      </x:c>
      <x:c r="D8" t="str">
        <x:v>Olympic</x:v>
      </x:c>
      <x:c r="E8" t="str">
        <x:v>Rangpur</x:v>
      </x:c>
      <x:c r="F8" t="str">
        <x:v>Rangpur DC</x:v>
      </x:c>
      <x:c r="G8" t="n">
        <x:v>1530</x:v>
      </x:c>
      <x:c r="H8" t="n">
        <x:v>520</x:v>
      </x:c>
      <x:c r="I8" t="n">
        <x:v>1106</x:v>
      </x:c>
      <x:c r="J8" t="n">
        <x:v>203</x:v>
      </x:c>
      <x:c r="K8" t="n">
        <x:v>120</x:v>
      </x:c>
      <x:c r="L8" t="n">
        <x:v>45678</x:v>
      </x:c>
      <x:c r="M8" t="str">
        <x:v>OK</x:v>
      </x:c>
    </x:row>
    <x:row r="9">
      <x:c r="A9" t="str">
        <x:v>OLY-DPF-22-08</x:v>
      </x:c>
      <x:c r="B9" t="str">
        <x:v>Biscuit Pack</x:v>
      </x:c>
      <x:c r="C9" t="str">
        <x:v>Food</x:v>
      </x:c>
      <x:c r="D9" t="str">
        <x:v>Olympic</x:v>
      </x:c>
      <x:c r="E9" t="str">
        <x:v>Mymensingh</x:v>
      </x:c>
      <x:c r="F9" t="str">
        <x:v>Mymensingh DC</x:v>
      </x:c>
      <x:c r="G9" t="n">
        <x:v>1165</x:v>
      </x:c>
      <x:c r="H9" t="n">
        <x:v>516</x:v>
      </x:c>
      <x:c r="I9" t="n">
        <x:v>1279</x:v>
      </x:c>
      <x:c r="J9" t="n">
        <x:v>276</x:v>
      </x:c>
      <x:c r="K9" t="n">
        <x:v>120</x:v>
      </x:c>
      <x:c r="L9" t="n">
        <x:v>45679</x:v>
      </x:c>
      <x:c r="M9" t="str">
        <x:v>Reorder Needed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14" hidden="0" customWidth="1"/>
    <x:col min="4" max="4" width="14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38" hidden="0" customWidth="1"/>
  </x:cols>
  <x:sheetData>
    <x:row r="1">
      <x:c r="A1" s="16" t="str">
        <x:v>CampaignName</x:v>
      </x:c>
      <x:c r="B1" s="16" t="str">
        <x:v>StartDate</x:v>
      </x:c>
      <x:c r="C1" s="16" t="str">
        <x:v>EndDate</x:v>
      </x:c>
      <x:c r="D1" s="16" t="str">
        <x:v>DiscountPct</x:v>
      </x:c>
      <x:c r="E1" s="16" t="str">
        <x:v>Channel</x:v>
      </x:c>
      <x:c r="F1" s="16" t="str">
        <x:v>ExpectedUpliftPct</x:v>
      </x:c>
      <x:c r="G1" s="16" t="str">
        <x:v>ActualUpliftPct</x:v>
      </x:c>
      <x:c r="H1" s="16" t="str">
        <x:v>BudgetBDT</x:v>
      </x:c>
      <x:c r="I1" s="16" t="str">
        <x:v>Notes</x:v>
      </x:c>
    </x:row>
    <x:row r="2">
      <x:c r="A2" t="str">
        <x:v>Ramadan Bundle</x:v>
      </x:c>
      <x:c r="B2" t="n">
        <x:v>45356</x:v>
      </x:c>
      <x:c r="C2" t="n">
        <x:v>45392</x:v>
      </x:c>
      <x:c r="D2" t="n">
        <x:v>12</x:v>
      </x:c>
      <x:c r="E2" t="str">
        <x:v>Retail</x:v>
      </x:c>
      <x:c r="F2" t="n">
        <x:v>16.4</x:v>
      </x:c>
      <x:c r="G2" t="n">
        <x:v>12.8</x:v>
      </x:c>
      <x:c r="H2" t="n">
        <x:v>94028</x:v>
      </x:c>
      <x:c r="I2" t="str">
        <x:v>Use for promotion impact analysis</x:v>
      </x:c>
    </x:row>
    <x:row r="3">
      <x:c r="A3" t="str">
        <x:v>Eid Mega Offer</x:v>
      </x:c>
      <x:c r="B3" t="n">
        <x:v>45383</x:v>
      </x:c>
      <x:c r="C3" t="n">
        <x:v>45402</x:v>
      </x:c>
      <x:c r="D3" t="n">
        <x:v>18</x:v>
      </x:c>
      <x:c r="E3" t="str">
        <x:v>All</x:v>
      </x:c>
      <x:c r="F3" t="n">
        <x:v>34.9</x:v>
      </x:c>
      <x:c r="G3" t="n">
        <x:v>36.2</x:v>
      </x:c>
      <x:c r="H3" t="n">
        <x:v>124822</x:v>
      </x:c>
      <x:c r="I3" t="str">
        <x:v>Use for promotion impact analysis</x:v>
      </x:c>
    </x:row>
    <x:row r="4">
      <x:c r="A4" t="str">
        <x:v>Online Flash Sale</x:v>
      </x:c>
      <x:c r="B4" t="n">
        <x:v>45514</x:v>
      </x:c>
      <x:c r="C4" t="n">
        <x:v>45522</x:v>
      </x:c>
      <x:c r="D4" t="n">
        <x:v>15</x:v>
      </x:c>
      <x:c r="E4" t="str">
        <x:v>Online</x:v>
      </x:c>
      <x:c r="F4" t="n">
        <x:v>17.6</x:v>
      </x:c>
      <x:c r="G4" t="n">
        <x:v>19.1</x:v>
      </x:c>
      <x:c r="H4" t="n">
        <x:v>84706</x:v>
      </x:c>
      <x:c r="I4" t="str">
        <x:v>Use for promotion impact analysis</x:v>
      </x:c>
    </x:row>
    <x:row r="5">
      <x:c r="A5" t="str">
        <x:v>Winter Pack</x:v>
      </x:c>
      <x:c r="B5" t="n">
        <x:v>45627</x:v>
      </x:c>
      <x:c r="C5" t="n">
        <x:v>45657</x:v>
      </x:c>
      <x:c r="D5" t="n">
        <x:v>10</x:v>
      </x:c>
      <x:c r="E5" t="str">
        <x:v>Modern Trade</x:v>
      </x:c>
      <x:c r="F5" t="n">
        <x:v>13.8</x:v>
      </x:c>
      <x:c r="G5" t="n">
        <x:v>17.2</x:v>
      </x:c>
      <x:c r="H5" t="n">
        <x:v>127600</x:v>
      </x:c>
      <x:c r="I5" t="str">
        <x:v>Use for promotion impact analysis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4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42" hidden="0" customWidth="1"/>
    <x:col min="9" max="9" width="38" hidden="0" customWidth="1"/>
  </x:cols>
  <x:sheetData>
    <x:row r="1">
      <x:c r="A1" s="16" t="str">
        <x:v>Date</x:v>
      </x:c>
      <x:c r="B1" s="16" t="str">
        <x:v>CompetitorName</x:v>
      </x:c>
      <x:c r="C1" s="16" t="str">
        <x:v>CompetitorProduct</x:v>
      </x:c>
      <x:c r="D1" s="16" t="str">
        <x:v>Category</x:v>
      </x:c>
      <x:c r="E1" s="16" t="str">
        <x:v>CompetitorPriceBDT</x:v>
      </x:c>
      <x:c r="F1" s="16" t="str">
        <x:v>PromoActive</x:v>
      </x:c>
      <x:c r="G1" s="16" t="str">
        <x:v>LaunchEvent</x:v>
      </x:c>
      <x:c r="H1" s="16" t="str">
        <x:v>SourceURL</x:v>
      </x:c>
      <x:c r="I1" s="16" t="str">
        <x:v>Notes</x:v>
      </x:c>
    </x:row>
    <x:row r="2">
      <x:c r="A2" t="n">
        <x:v>45536</x:v>
      </x:c>
      <x:c r="B2" t="str">
        <x:v>Lux</x:v>
      </x:c>
      <x:c r="C2" t="str">
        <x:v>Lux alternative</x:v>
      </x:c>
      <x:c r="D2" t="str">
        <x:v>Food</x:v>
      </x:c>
      <x:c r="E2" t="n">
        <x:v>26</x:v>
      </x:c>
      <x:c r="F2" t="str">
        <x:v>No</x:v>
      </x:c>
      <x:c r="G2" t="str">
        <x:v>No</x:v>
      </x:c>
      <x:c r="H2" t="str">
        <x:v>https://example.com/competitor/lux</x:v>
      </x:c>
      <x:c r="I2" t="str"/>
    </x:row>
    <x:row r="3">
      <x:c r="A3" t="n">
        <x:v>45566</x:v>
      </x:c>
      <x:c r="B3" t="str">
        <x:v>Sunsilk</x:v>
      </x:c>
      <x:c r="C3" t="str">
        <x:v>Sunsilk alternative</x:v>
      </x:c>
      <x:c r="D3" t="str">
        <x:v>Food</x:v>
      </x:c>
      <x:c r="E3" t="n">
        <x:v>27</x:v>
      </x:c>
      <x:c r="F3" t="str">
        <x:v>No</x:v>
      </x:c>
      <x:c r="G3" t="str">
        <x:v>No</x:v>
      </x:c>
      <x:c r="H3" t="str">
        <x:v>https://example.com/competitor/sunsilk</x:v>
      </x:c>
      <x:c r="I3" t="str"/>
    </x:row>
    <x:row r="4">
      <x:c r="A4" t="n">
        <x:v>45597</x:v>
      </x:c>
      <x:c r="B4" t="str">
        <x:v>Nivea</x:v>
      </x:c>
      <x:c r="C4" t="str">
        <x:v>Nivea alternative</x:v>
      </x:c>
      <x:c r="D4" t="str">
        <x:v>Food</x:v>
      </x:c>
      <x:c r="E4" t="n">
        <x:v>28</x:v>
      </x:c>
      <x:c r="F4" t="str">
        <x:v>No</x:v>
      </x:c>
      <x:c r="G4" t="str">
        <x:v>No</x:v>
      </x:c>
      <x:c r="H4" t="str">
        <x:v>https://example.com/competitor/nivea</x:v>
      </x:c>
      <x:c r="I4" t="str"/>
    </x:row>
    <x:row r="5">
      <x:c r="A5" t="n">
        <x:v>45627</x:v>
      </x:c>
      <x:c r="B5" t="str">
        <x:v>Local Brand</x:v>
      </x:c>
      <x:c r="C5" t="str">
        <x:v>Local Brand alternative</x:v>
      </x:c>
      <x:c r="D5" t="str">
        <x:v>Food</x:v>
      </x:c>
      <x:c r="E5" t="n">
        <x:v>27</x:v>
      </x:c>
      <x:c r="F5" t="str">
        <x:v>No</x:v>
      </x:c>
      <x:c r="G5" t="str">
        <x:v>No</x:v>
      </x:c>
      <x:c r="H5" t="str">
        <x:v>https://example.com/competitor/local-brand</x:v>
      </x:c>
      <x:c r="I5" t="str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0" hidden="0" customWidth="1"/>
    <x:col min="5" max="5" width="16" hidden="0" customWidth="1"/>
    <x:col min="6" max="6" width="16" hidden="0" customWidth="1"/>
    <x:col min="7" max="7" width="40" hidden="0" customWidth="1"/>
  </x:cols>
  <x:sheetData>
    <x:row r="1">
      <x:c r="A1" s="16" t="str">
        <x:v>Month</x:v>
      </x:c>
      <x:c r="B1" s="16" t="str">
        <x:v>InflationPct</x:v>
      </x:c>
      <x:c r="C1" s="16" t="str">
        <x:v>IncomeIndex</x:v>
      </x:c>
      <x:c r="D1" s="16" t="str">
        <x:v>PurchasingPowerIndex</x:v>
      </x:c>
      <x:c r="E1" s="16" t="str">
        <x:v>FXRateBDTUSD</x:v>
      </x:c>
      <x:c r="F1" s="16" t="str">
        <x:v>EconomicRisk</x:v>
      </x:c>
      <x:c r="G1" s="16" t="str">
        <x:v>Notes</x:v>
      </x:c>
    </x:row>
    <x:row r="2">
      <x:c r="A2" t="n">
        <x:v>45292</x:v>
      </x:c>
      <x:c r="B2" t="n">
        <x:v>7.34</x:v>
      </x:c>
      <x:c r="C2" t="n">
        <x:v>99.06</x:v>
      </x:c>
      <x:c r="D2" t="n">
        <x:v>87.25</x:v>
      </x:c>
      <x:c r="E2" t="n">
        <x:v>109</x:v>
      </x:c>
      <x:c r="F2" t="str">
        <x:v>Low</x:v>
      </x:c>
      <x:c r="G2" t="str">
        <x:v>Economic conditions for demand adjustment</x:v>
      </x:c>
    </x:row>
    <x:row r="3">
      <x:c r="A3" t="n">
        <x:v>45323</x:v>
      </x:c>
      <x:c r="B3" t="n">
        <x:v>7.78</x:v>
      </x:c>
      <x:c r="C3" t="n">
        <x:v>99.84</x:v>
      </x:c>
      <x:c r="D3" t="n">
        <x:v>86.72</x:v>
      </x:c>
      <x:c r="E3" t="n">
        <x:v>109.4</x:v>
      </x:c>
      <x:c r="F3" t="str">
        <x:v>Medium</x:v>
      </x:c>
      <x:c r="G3" t="str">
        <x:v>Economic conditions for demand adjustment</x:v>
      </x:c>
    </x:row>
    <x:row r="4">
      <x:c r="A4" t="n">
        <x:v>45352</x:v>
      </x:c>
      <x:c r="B4" t="n">
        <x:v>8.07</x:v>
      </x:c>
      <x:c r="C4" t="n">
        <x:v>101.49</x:v>
      </x:c>
      <x:c r="D4" t="n">
        <x:v>86.73</x:v>
      </x:c>
      <x:c r="E4" t="n">
        <x:v>109.8</x:v>
      </x:c>
      <x:c r="F4" t="str">
        <x:v>Medium</x:v>
      </x:c>
      <x:c r="G4" t="str">
        <x:v>Economic conditions for demand adjustment</x:v>
      </x:c>
    </x:row>
    <x:row r="5">
      <x:c r="A5" t="n">
        <x:v>45383</x:v>
      </x:c>
      <x:c r="B5" t="n">
        <x:v>8.74</x:v>
      </x:c>
      <x:c r="C5" t="n">
        <x:v>100.53</x:v>
      </x:c>
      <x:c r="D5" t="n">
        <x:v>85.31</x:v>
      </x:c>
      <x:c r="E5" t="n">
        <x:v>110.2</x:v>
      </x:c>
      <x:c r="F5" t="str">
        <x:v>Medium</x:v>
      </x:c>
      <x:c r="G5" t="str">
        <x:v>Economic conditions for demand adjustment</x:v>
      </x:c>
    </x:row>
    <x:row r="6">
      <x:c r="A6" t="n">
        <x:v>45413</x:v>
      </x:c>
      <x:c r="B6" t="n">
        <x:v>8.76</x:v>
      </x:c>
      <x:c r="C6" t="n">
        <x:v>100.99</x:v>
      </x:c>
      <x:c r="D6" t="n">
        <x:v>85.41</x:v>
      </x:c>
      <x:c r="E6" t="n">
        <x:v>110.6</x:v>
      </x:c>
      <x:c r="F6" t="str">
        <x:v>Medium</x:v>
      </x:c>
      <x:c r="G6" t="str">
        <x:v>Economic conditions for demand adjustment</x:v>
      </x:c>
    </x:row>
    <x:row r="7">
      <x:c r="A7" t="n">
        <x:v>45444</x:v>
      </x:c>
      <x:c r="B7" t="n">
        <x:v>8.94</x:v>
      </x:c>
      <x:c r="C7" t="n">
        <x:v>101.42</x:v>
      </x:c>
      <x:c r="D7" t="n">
        <x:v>85.22</x:v>
      </x:c>
      <x:c r="E7" t="n">
        <x:v>111</x:v>
      </x:c>
      <x:c r="F7" t="str">
        <x:v>Medium</x:v>
      </x:c>
      <x:c r="G7" t="str">
        <x:v>Economic conditions for demand adjustment</x:v>
      </x:c>
    </x:row>
    <x:row r="8">
      <x:c r="A8" t="n">
        <x:v>45474</x:v>
      </x:c>
      <x:c r="B8" t="n">
        <x:v>8.45</x:v>
      </x:c>
      <x:c r="C8" t="n">
        <x:v>101.29</x:v>
      </x:c>
      <x:c r="D8" t="n">
        <x:v>86.02</x:v>
      </x:c>
      <x:c r="E8" t="n">
        <x:v>111.4</x:v>
      </x:c>
      <x:c r="F8" t="str">
        <x:v>Medium</x:v>
      </x:c>
      <x:c r="G8" t="str">
        <x:v>Economic conditions for demand adjustment</x:v>
      </x:c>
    </x:row>
    <x:row r="9">
      <x:c r="A9" t="n">
        <x:v>45505</x:v>
      </x:c>
      <x:c r="B9" t="n">
        <x:v>8.4</x:v>
      </x:c>
      <x:c r="C9" t="n">
        <x:v>101.63</x:v>
      </x:c>
      <x:c r="D9" t="n">
        <x:v>86.2</x:v>
      </x:c>
      <x:c r="E9" t="n">
        <x:v>111.8</x:v>
      </x:c>
      <x:c r="F9" t="str">
        <x:v>Medium</x:v>
      </x:c>
      <x:c r="G9" t="str">
        <x:v>Economic conditions for demand adjustment</x:v>
      </x:c>
    </x:row>
    <x:row r="10">
      <x:c r="A10" t="n">
        <x:v>45536</x:v>
      </x:c>
      <x:c r="B10" t="n">
        <x:v>8.1</x:v>
      </x:c>
      <x:c r="C10" t="n">
        <x:v>103.2</x:v>
      </x:c>
      <x:c r="D10" t="n">
        <x:v>87.19</x:v>
      </x:c>
      <x:c r="E10" t="n">
        <x:v>112.2</x:v>
      </x:c>
      <x:c r="F10" t="str">
        <x:v>Medium</x:v>
      </x:c>
      <x:c r="G10" t="str">
        <x:v>Economic conditions for demand adjustment</x:v>
      </x:c>
    </x:row>
    <x:row r="11">
      <x:c r="A11" t="n">
        <x:v>45566</x:v>
      </x:c>
      <x:c r="B11" t="n">
        <x:v>7.61</x:v>
      </x:c>
      <x:c r="C11" t="n">
        <x:v>102.14</x:v>
      </x:c>
      <x:c r="D11" t="n">
        <x:v>87.71</x:v>
      </x:c>
      <x:c r="E11" t="n">
        <x:v>112.6</x:v>
      </x:c>
      <x:c r="F11" t="str">
        <x:v>Medium</x:v>
      </x:c>
      <x:c r="G11" t="str">
        <x:v>Economic conditions for demand adjustment</x:v>
      </x:c>
    </x:row>
    <x:row r="12">
      <x:c r="A12" t="n">
        <x:v>45597</x:v>
      </x:c>
      <x:c r="B12" t="n">
        <x:v>7.57</x:v>
      </x:c>
      <x:c r="C12" t="n">
        <x:v>103.02</x:v>
      </x:c>
      <x:c r="D12" t="n">
        <x:v>88.04</x:v>
      </x:c>
      <x:c r="E12" t="n">
        <x:v>113</x:v>
      </x:c>
      <x:c r="F12" t="str">
        <x:v>Medium</x:v>
      </x:c>
      <x:c r="G12" t="str">
        <x:v>Economic conditions for demand adjustment</x:v>
      </x:c>
    </x:row>
    <x:row r="13">
      <x:c r="A13" t="n">
        <x:v>45627</x:v>
      </x:c>
      <x:c r="B13" t="n">
        <x:v>6.65</x:v>
      </x:c>
      <x:c r="C13" t="n">
        <x:v>102.39</x:v>
      </x:c>
      <x:c r="D13" t="n">
        <x:v>89.41</x:v>
      </x:c>
      <x:c r="E13" t="n">
        <x:v>113.4</x:v>
      </x:c>
      <x:c r="F13" t="str">
        <x:v>Low</x:v>
      </x:c>
      <x:c r="G13" t="str">
        <x:v>Economic conditions for demand adjustment</x:v>
      </x:c>
    </x:row>
    <x:row r="14">
      <x:c r="A14" t="n">
        <x:v>45658</x:v>
      </x:c>
      <x:c r="B14" t="n">
        <x:v>6.36</x:v>
      </x:c>
      <x:c r="C14" t="n">
        <x:v>103.85</x:v>
      </x:c>
      <x:c r="D14" t="n">
        <x:v>90.35</x:v>
      </x:c>
      <x:c r="E14" t="n">
        <x:v>113.8</x:v>
      </x:c>
      <x:c r="F14" t="str">
        <x:v>Low</x:v>
      </x:c>
      <x:c r="G14" t="str">
        <x:v>Economic conditions for demand adjustment</x:v>
      </x:c>
    </x:row>
    <x:row r="15">
      <x:c r="A15" t="n">
        <x:v>45689</x:v>
      </x:c>
      <x:c r="B15" t="n">
        <x:v>6.56</x:v>
      </x:c>
      <x:c r="C15" t="n">
        <x:v>103.74</x:v>
      </x:c>
      <x:c r="D15" t="n">
        <x:v>89.97</x:v>
      </x:c>
      <x:c r="E15" t="n">
        <x:v>114.2</x:v>
      </x:c>
      <x:c r="F15" t="str">
        <x:v>Low</x:v>
      </x:c>
      <x:c r="G15" t="str">
        <x:v>Economic conditions for demand adjustment</x:v>
      </x:c>
    </x:row>
    <x:row r="16">
      <x:c r="A16" t="n">
        <x:v>45717</x:v>
      </x:c>
      <x:c r="B16" t="n">
        <x:v>6.04</x:v>
      </x:c>
      <x:c r="C16" t="n">
        <x:v>103.96</x:v>
      </x:c>
      <x:c r="D16" t="n">
        <x:v>90.92</x:v>
      </x:c>
      <x:c r="E16" t="n">
        <x:v>114.6</x:v>
      </x:c>
      <x:c r="F16" t="str">
        <x:v>Low</x:v>
      </x:c>
      <x:c r="G16" t="str">
        <x:v>Economic conditions for demand adjustment</x:v>
      </x:c>
    </x:row>
    <x:row r="17">
      <x:c r="A17" t="n">
        <x:v>45748</x:v>
      </x:c>
      <x:c r="B17" t="n">
        <x:v>6.65</x:v>
      </x:c>
      <x:c r="C17" t="n">
        <x:v>104.56</x:v>
      </x:c>
      <x:c r="D17" t="n">
        <x:v>90.07</x:v>
      </x:c>
      <x:c r="E17" t="n">
        <x:v>115</x:v>
      </x:c>
      <x:c r="F17" t="str">
        <x:v>Low</x:v>
      </x:c>
      <x:c r="G17" t="str">
        <x:v>Economic conditions for demand adjustment</x:v>
      </x:c>
    </x:row>
    <x:row r="18">
      <x:c r="A18" t="n">
        <x:v>45778</x:v>
      </x:c>
      <x:c r="B18" t="n">
        <x:v>6.81</x:v>
      </x:c>
      <x:c r="C18" t="n">
        <x:v>105.52</x:v>
      </x:c>
      <x:c r="D18" t="n">
        <x:v>90.09</x:v>
      </x:c>
      <x:c r="E18" t="n">
        <x:v>115.4</x:v>
      </x:c>
      <x:c r="F18" t="str">
        <x:v>Low</x:v>
      </x:c>
      <x:c r="G18" t="str">
        <x:v>Economic conditions for demand adjustment</x:v>
      </x:c>
    </x:row>
    <x:row r="19">
      <x:c r="A19" t="n">
        <x:v>45809</x:v>
      </x:c>
      <x:c r="B19" t="n">
        <x:v>6.51</x:v>
      </x:c>
      <x:c r="C19" t="n">
        <x:v>105.54</x:v>
      </x:c>
      <x:c r="D19" t="n">
        <x:v>90.59</x:v>
      </x:c>
      <x:c r="E19" t="n">
        <x:v>115.8</x:v>
      </x:c>
      <x:c r="F19" t="str">
        <x:v>Low</x:v>
      </x:c>
      <x:c r="G19" t="str">
        <x:v>Economic conditions for demand adjustment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2" hidden="0" customWidth="1"/>
    <x:col min="10" max="10" width="34" hidden="0" customWidth="1"/>
  </x:cols>
  <x:sheetData>
    <x:row r="1">
      <x:c r="A1" s="16" t="str">
        <x:v>Supplier</x:v>
      </x:c>
      <x:c r="B1" s="16" t="str">
        <x:v>SupplierCountry</x:v>
      </x:c>
      <x:c r="C1" s="16" t="str">
        <x:v>OrderDate</x:v>
      </x:c>
      <x:c r="D1" s="16" t="str">
        <x:v>PurchaseLeadDays</x:v>
      </x:c>
      <x:c r="E1" s="16" t="str">
        <x:v>ProductionLeadDays</x:v>
      </x:c>
      <x:c r="F1" s="16" t="str">
        <x:v>ShippingLeadDays</x:v>
      </x:c>
      <x:c r="G1" s="16" t="str">
        <x:v>DeliveryLeadDays</x:v>
      </x:c>
      <x:c r="H1" s="16" t="str">
        <x:v>TotalLeadTimeDays</x:v>
      </x:c>
      <x:c r="I1" s="16" t="str">
        <x:v>DelayFlag</x:v>
      </x:c>
      <x:c r="J1" s="16" t="str">
        <x:v>DelayReason</x:v>
      </x:c>
    </x:row>
    <x:row r="2">
      <x:c r="A2" t="str">
        <x:v>Supplier A</x:v>
      </x:c>
      <x:c r="B2" t="str">
        <x:v>Bangladesh</x:v>
      </x:c>
      <x:c r="C2" t="n">
        <x:v>45505</x:v>
      </x:c>
      <x:c r="D2" t="n">
        <x:v>6</x:v>
      </x:c>
      <x:c r="E2" t="n">
        <x:v>9</x:v>
      </x:c>
      <x:c r="F2" t="n">
        <x:v>7</x:v>
      </x:c>
      <x:c r="G2" t="n">
        <x:v>1</x:v>
      </x:c>
      <x:c r="H2" t="n">
        <x:v>23</x:v>
      </x:c>
      <x:c r="I2" t="str">
        <x:v>No</x:v>
      </x:c>
      <x:c r="J2" t="str"/>
    </x:row>
    <x:row r="3">
      <x:c r="A3" t="str">
        <x:v>Supplier B</x:v>
      </x:c>
      <x:c r="B3" t="str">
        <x:v>China</x:v>
      </x:c>
      <x:c r="C3" t="n">
        <x:v>45535</x:v>
      </x:c>
      <x:c r="D3" t="n">
        <x:v>4</x:v>
      </x:c>
      <x:c r="E3" t="n">
        <x:v>11</x:v>
      </x:c>
      <x:c r="F3" t="n">
        <x:v>4</x:v>
      </x:c>
      <x:c r="G3" t="n">
        <x:v>4</x:v>
      </x:c>
      <x:c r="H3" t="n">
        <x:v>23</x:v>
      </x:c>
      <x:c r="I3" t="str">
        <x:v>No</x:v>
      </x:c>
      <x:c r="J3" t="str"/>
    </x:row>
    <x:row r="4">
      <x:c r="A4" t="str">
        <x:v>Supplier C</x:v>
      </x:c>
      <x:c r="B4" t="str">
        <x:v>India</x:v>
      </x:c>
      <x:c r="C4" t="n">
        <x:v>45565</x:v>
      </x:c>
      <x:c r="D4" t="n">
        <x:v>2</x:v>
      </x:c>
      <x:c r="E4" t="n">
        <x:v>9</x:v>
      </x:c>
      <x:c r="F4" t="n">
        <x:v>4</x:v>
      </x:c>
      <x:c r="G4" t="n">
        <x:v>5</x:v>
      </x:c>
      <x:c r="H4" t="n">
        <x:v>20</x:v>
      </x:c>
      <x:c r="I4" t="str">
        <x:v>No</x:v>
      </x:c>
      <x:c r="J4" t="str"/>
    </x:row>
    <x:row r="5">
      <x:c r="A5" t="str">
        <x:v>Supplier D</x:v>
      </x:c>
      <x:c r="B5" t="str">
        <x:v>Vietnam</x:v>
      </x:c>
      <x:c r="C5" t="n">
        <x:v>45595</x:v>
      </x:c>
      <x:c r="D5" t="n">
        <x:v>2</x:v>
      </x:c>
      <x:c r="E5" t="n">
        <x:v>9</x:v>
      </x:c>
      <x:c r="F5" t="n">
        <x:v>5</x:v>
      </x:c>
      <x:c r="G5" t="n">
        <x:v>2</x:v>
      </x:c>
      <x:c r="H5" t="n">
        <x:v>18</x:v>
      </x:c>
      <x:c r="I5" t="str">
        <x:v>No</x:v>
      </x:c>
      <x:c r="J5" t="str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42" hidden="0" customWidth="1"/>
  </x:cols>
  <x:sheetData>
    <x:row r="1">
      <x:c r="A1" s="16" t="str">
        <x:v>Month</x:v>
      </x:c>
      <x:c r="B1" s="16" t="str">
        <x:v>ForecastUnits</x:v>
      </x:c>
      <x:c r="C1" s="16" t="str">
        <x:v>ActualUnits</x:v>
      </x:c>
      <x:c r="D1" s="16" t="str">
        <x:v>ForecastError</x:v>
      </x:c>
      <x:c r="E1" s="16" t="str">
        <x:v>AbsoluteError</x:v>
      </x:c>
      <x:c r="F1" s="16" t="str">
        <x:v>APE</x:v>
      </x:c>
      <x:c r="G1" s="16" t="str">
        <x:v>Notes</x:v>
      </x:c>
    </x:row>
    <x:row r="2">
      <x:c r="A2" t="n">
        <x:v>45474</x:v>
      </x:c>
      <x:c r="B2" t="n">
        <x:v>3704</x:v>
      </x:c>
      <x:c r="C2" t="n">
        <x:v>3277</x:v>
      </x:c>
      <x:c r="D2" t="n">
        <x:f>C2-B2</x:f>
        <x:v>-427</x:v>
      </x:c>
      <x:c r="E2" t="n">
        <x:f>ABS(D2)</x:f>
        <x:v>427</x:v>
      </x:c>
      <x:c r="F2" s="22" t="n">
        <x:f>IFERROR(E2/C2,0)</x:f>
        <x:v>0.13030210558437597</x:v>
      </x:c>
      <x:c r="G2" t="str">
        <x:v>Formula columns should calculate error and accuracy</x:v>
      </x:c>
    </x:row>
    <x:row r="3">
      <x:c r="A3" t="n">
        <x:v>45505</x:v>
      </x:c>
      <x:c r="B3" t="n">
        <x:v>4228</x:v>
      </x:c>
      <x:c r="C3" t="n">
        <x:v>5027</x:v>
      </x:c>
      <x:c r="D3" t="n">
        <x:f>C3-B3</x:f>
        <x:v>799</x:v>
      </x:c>
      <x:c r="E3" t="n">
        <x:f>ABS(D3)</x:f>
        <x:v>799</x:v>
      </x:c>
      <x:c r="F3" s="22" t="n">
        <x:f>IFERROR(E3/C3,0)</x:f>
        <x:v>0.15894171474040183</x:v>
      </x:c>
      <x:c r="G3" t="str">
        <x:v>Formula columns should calculate error and accuracy</x:v>
      </x:c>
    </x:row>
    <x:row r="4">
      <x:c r="A4" t="n">
        <x:v>45536</x:v>
      </x:c>
      <x:c r="B4" t="n">
        <x:v>4283</x:v>
      </x:c>
      <x:c r="C4" t="n">
        <x:v>4538</x:v>
      </x:c>
      <x:c r="D4" t="n">
        <x:f>C4-B4</x:f>
        <x:v>255</x:v>
      </x:c>
      <x:c r="E4" t="n">
        <x:f>ABS(D4)</x:f>
        <x:v>255</x:v>
      </x:c>
      <x:c r="F4" s="22" t="n">
        <x:f>IFERROR(E4/C4,0)</x:f>
        <x:v>0.05619215513442045</x:v>
      </x:c>
      <x:c r="G4" t="str">
        <x:v>Formula columns should calculate error and accuracy</x:v>
      </x:c>
    </x:row>
    <x:row r="5">
      <x:c r="A5" t="n">
        <x:v>45566</x:v>
      </x:c>
      <x:c r="B5" t="n">
        <x:v>4019</x:v>
      </x:c>
      <x:c r="C5" t="n">
        <x:v>3475</x:v>
      </x:c>
      <x:c r="D5" t="n">
        <x:f>C5-B5</x:f>
        <x:v>-544</x:v>
      </x:c>
      <x:c r="E5" t="n">
        <x:f>ABS(D5)</x:f>
        <x:v>544</x:v>
      </x:c>
      <x:c r="F5" s="22" t="n">
        <x:f>IFERROR(E5/C5,0)</x:f>
        <x:v>0.15654676258992806</x:v>
      </x:c>
      <x:c r="G5" t="str">
        <x:v>Formula columns should calculate error and accuracy</x:v>
      </x:c>
    </x:row>
    <x:row r="6">
      <x:c r="A6" t="n">
        <x:v>45597</x:v>
      </x:c>
      <x:c r="B6" t="n">
        <x:v>3992</x:v>
      </x:c>
      <x:c r="C6" t="n">
        <x:v>4847</x:v>
      </x:c>
      <x:c r="D6" t="n">
        <x:f>C6-B6</x:f>
        <x:v>855</x:v>
      </x:c>
      <x:c r="E6" t="n">
        <x:f>ABS(D6)</x:f>
        <x:v>855</x:v>
      </x:c>
      <x:c r="F6" s="22" t="n">
        <x:f>IFERROR(E6/C6,0)</x:f>
        <x:v>0.17639777181761915</x:v>
      </x:c>
      <x:c r="G6" t="str">
        <x:v>Formula columns should calculate error and accuracy</x:v>
      </x:c>
    </x:row>
    <x:row r="7">
      <x:c r="A7" t="n">
        <x:v>45627</x:v>
      </x:c>
      <x:c r="B7" t="n">
        <x:v>4436</x:v>
      </x:c>
      <x:c r="C7" t="n">
        <x:v>4062</x:v>
      </x:c>
      <x:c r="D7" t="n">
        <x:f>C7-B7</x:f>
        <x:v>-374</x:v>
      </x:c>
      <x:c r="E7" t="n">
        <x:f>ABS(D7)</x:f>
        <x:v>374</x:v>
      </x:c>
      <x:c r="F7" s="22" t="n">
        <x:f>IFERROR(E7/C7,0)</x:f>
        <x:v>0.09207287050713935</x:v>
      </x:c>
      <x:c r="G7" t="str">
        <x:v>Formula columns should calculate error and accuracy</x:v>
      </x:c>
    </x:row>
    <x:row r="8">
      <x:c r="A8" t="n">
        <x:v>45658</x:v>
      </x:c>
      <x:c r="B8" t="n">
        <x:v>4035</x:v>
      </x:c>
      <x:c r="C8" t="n">
        <x:v>4224</x:v>
      </x:c>
      <x:c r="D8" t="n">
        <x:f>C8-B8</x:f>
        <x:v>189</x:v>
      </x:c>
      <x:c r="E8" t="n">
        <x:f>ABS(D8)</x:f>
        <x:v>189</x:v>
      </x:c>
      <x:c r="F8" s="22" t="n">
        <x:f>IFERROR(E8/C8,0)</x:f>
        <x:v>0.044744318181818184</x:v>
      </x:c>
      <x:c r="G8" t="str">
        <x:v>Formula columns should calculate error and accuracy</x:v>
      </x:c>
    </x:row>
    <x:row r="9">
      <x:c r="A9" t="n">
        <x:v>45689</x:v>
      </x:c>
      <x:c r="B9" t="n">
        <x:v>3967</x:v>
      </x:c>
      <x:c r="C9" t="n">
        <x:v>4414</x:v>
      </x:c>
      <x:c r="D9" t="n">
        <x:f>C9-B9</x:f>
        <x:v>447</x:v>
      </x:c>
      <x:c r="E9" t="n">
        <x:f>ABS(D9)</x:f>
        <x:v>447</x:v>
      </x:c>
      <x:c r="F9" s="22" t="n">
        <x:f>IFERROR(E9/C9,0)</x:f>
        <x:v>0.1012686905301314</x:v>
      </x:c>
      <x:c r="G9" t="str">
        <x:v>Formula columns should calculate error and accuracy</x:v>
      </x:c>
    </x:row>
    <x:row r="10">
      <x:c r="A10" t="n">
        <x:v>45717</x:v>
      </x:c>
      <x:c r="B10" t="n">
        <x:v>4687</x:v>
      </x:c>
      <x:c r="C10" t="n">
        <x:v>5677</x:v>
      </x:c>
      <x:c r="D10" t="n">
        <x:f>C10-B10</x:f>
        <x:v>990</x:v>
      </x:c>
      <x:c r="E10" t="n">
        <x:f>ABS(D10)</x:f>
        <x:v>990</x:v>
      </x:c>
      <x:c r="F10" s="22" t="n">
        <x:f>IFERROR(E10/C10,0)</x:f>
        <x:v>0.17438788092302274</x:v>
      </x:c>
      <x:c r="G10" t="str">
        <x:v>Formula columns should calculate error and accuracy</x:v>
      </x:c>
    </x:row>
    <x:row r="11">
      <x:c r="A11" t="n">
        <x:v>45748</x:v>
      </x:c>
      <x:c r="B11" t="n">
        <x:v>4513</x:v>
      </x:c>
      <x:c r="C11" t="n">
        <x:v>3928</x:v>
      </x:c>
      <x:c r="D11" t="n">
        <x:f>C11-B11</x:f>
        <x:v>-585</x:v>
      </x:c>
      <x:c r="E11" t="n">
        <x:f>ABS(D11)</x:f>
        <x:v>585</x:v>
      </x:c>
      <x:c r="F11" s="22" t="n">
        <x:f>IFERROR(E11/C11,0)</x:f>
        <x:v>0.14893075356415478</x:v>
      </x:c>
      <x:c r="G11" t="str">
        <x:v>Formula columns should calculate error and accuracy</x:v>
      </x:c>
    </x:row>
    <x:row r="12">
      <x:c r="A12" t="n">
        <x:v>45778</x:v>
      </x:c>
      <x:c r="B12" t="n">
        <x:v>4706</x:v>
      </x:c>
      <x:c r="C12" t="n">
        <x:v>5641</x:v>
      </x:c>
      <x:c r="D12" t="n">
        <x:f>C12-B12</x:f>
        <x:v>935</x:v>
      </x:c>
      <x:c r="E12" t="n">
        <x:f>ABS(D12)</x:f>
        <x:v>935</x:v>
      </x:c>
      <x:c r="F12" s="22" t="n">
        <x:f>IFERROR(E12/C12,0)</x:f>
        <x:v>0.16575075341251552</x:v>
      </x:c>
      <x:c r="G12" t="str">
        <x:v>Formula columns should calculate error and accuracy</x:v>
      </x:c>
    </x:row>
    <x:row r="13">
      <x:c r="A13" t="n">
        <x:v>45809</x:v>
      </x:c>
      <x:c r="B13" t="n">
        <x:v>4326</x:v>
      </x:c>
      <x:c r="C13" t="n">
        <x:v>4460</x:v>
      </x:c>
      <x:c r="D13" t="n">
        <x:f>C13-B13</x:f>
        <x:v>134</x:v>
      </x:c>
      <x:c r="E13" t="n">
        <x:f>ABS(D13)</x:f>
        <x:v>134</x:v>
      </x:c>
      <x:c r="F13" s="22" t="n">
        <x:f>IFERROR(E13/C13,0)</x:f>
        <x:v>0.030044843049327353</x:v>
      </x:c>
      <x:c r="G13" t="str">
        <x:v>Formula columns should calculate error and accuracy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6" hidden="0" customWidth="1"/>
    <x:col min="5" max="5" width="20" hidden="0" customWidth="1"/>
    <x:col min="6" max="6" width="14" hidden="0" customWidth="1"/>
    <x:col min="7" max="7" width="40" hidden="0" customWidth="1"/>
  </x:cols>
  <x:sheetData>
    <x:row r="1">
      <x:c r="A1" s="16" t="str">
        <x:v>Region</x:v>
      </x:c>
      <x:c r="B1" s="16" t="str">
        <x:v>Latitude</x:v>
      </x:c>
      <x:c r="C1" s="16" t="str">
        <x:v>Longitude</x:v>
      </x:c>
      <x:c r="D1" s="16" t="str">
        <x:v>DemandScore</x:v>
      </x:c>
      <x:c r="E1" s="16" t="str">
        <x:v>ForecastDemandUnits</x:v>
      </x:c>
      <x:c r="F1" s="16" t="str">
        <x:v>DemandLevel</x:v>
      </x:c>
      <x:c r="G1" s="16" t="str">
        <x:v>Notes</x:v>
      </x:c>
    </x:row>
    <x:row r="2">
      <x:c r="A2" t="str">
        <x:v>Dhaka</x:v>
      </x:c>
      <x:c r="B2" t="n">
        <x:v>23.8103</x:v>
      </x:c>
      <x:c r="C2" t="n">
        <x:v>90.4125</x:v>
      </x:c>
      <x:c r="D2" t="n">
        <x:v>91</x:v>
      </x:c>
      <x:c r="E2" t="n">
        <x:v>3325</x:v>
      </x:c>
      <x:c r="F2" t="str">
        <x:v>High</x:v>
      </x:c>
      <x:c r="G2" t="str">
        <x:v>Use for Bangladesh/regional demand map</x:v>
      </x:c>
    </x:row>
    <x:row r="3">
      <x:c r="A3" t="str">
        <x:v>Chattogram</x:v>
      </x:c>
      <x:c r="B3" t="n">
        <x:v>22.3569</x:v>
      </x:c>
      <x:c r="C3" t="n">
        <x:v>91.7832</x:v>
      </x:c>
      <x:c r="D3" t="n">
        <x:v>58</x:v>
      </x:c>
      <x:c r="E3" t="n">
        <x:v>2677</x:v>
      </x:c>
      <x:c r="F3" t="str">
        <x:v>Low</x:v>
      </x:c>
      <x:c r="G3" t="str">
        <x:v>Use for Bangladesh/regional demand map</x:v>
      </x:c>
    </x:row>
    <x:row r="4">
      <x:c r="A4" t="str">
        <x:v>Sylhet</x:v>
      </x:c>
      <x:c r="B4" t="n">
        <x:v>24.8949</x:v>
      </x:c>
      <x:c r="C4" t="n">
        <x:v>91.8687</x:v>
      </x:c>
      <x:c r="D4" t="n">
        <x:v>93</x:v>
      </x:c>
      <x:c r="E4" t="n">
        <x:v>3940</x:v>
      </x:c>
      <x:c r="F4" t="str">
        <x:v>High</x:v>
      </x:c>
      <x:c r="G4" t="str">
        <x:v>Use for Bangladesh/regional demand map</x:v>
      </x:c>
    </x:row>
    <x:row r="5">
      <x:c r="A5" t="str">
        <x:v>Rajshahi</x:v>
      </x:c>
      <x:c r="B5" t="n">
        <x:v>24.3745</x:v>
      </x:c>
      <x:c r="C5" t="n">
        <x:v>88.6042</x:v>
      </x:c>
      <x:c r="D5" t="n">
        <x:v>57</x:v>
      </x:c>
      <x:c r="E5" t="n">
        <x:v>2397</x:v>
      </x:c>
      <x:c r="F5" t="str">
        <x:v>Low</x:v>
      </x:c>
      <x:c r="G5" t="str">
        <x:v>Use for Bangladesh/regional demand map</x:v>
      </x:c>
    </x:row>
    <x:row r="6">
      <x:c r="A6" t="str">
        <x:v>Khulna</x:v>
      </x:c>
      <x:c r="B6" t="n">
        <x:v>22.8456</x:v>
      </x:c>
      <x:c r="C6" t="n">
        <x:v>89.5403</x:v>
      </x:c>
      <x:c r="D6" t="n">
        <x:v>70</x:v>
      </x:c>
      <x:c r="E6" t="n">
        <x:v>3319</x:v>
      </x:c>
      <x:c r="F6" t="str">
        <x:v>Medium</x:v>
      </x:c>
      <x:c r="G6" t="str">
        <x:v>Use for Bangladesh/regional demand map</x:v>
      </x:c>
    </x:row>
    <x:row r="7">
      <x:c r="A7" t="str">
        <x:v>Barishal</x:v>
      </x:c>
      <x:c r="B7" t="n">
        <x:v>22.701</x:v>
      </x:c>
      <x:c r="C7" t="n">
        <x:v>90.3535</x:v>
      </x:c>
      <x:c r="D7" t="n">
        <x:v>86</x:v>
      </x:c>
      <x:c r="E7" t="n">
        <x:v>3061</x:v>
      </x:c>
      <x:c r="F7" t="str">
        <x:v>High</x:v>
      </x:c>
      <x:c r="G7" t="str">
        <x:v>Use for Bangladesh/regional demand map</x:v>
      </x:c>
    </x:row>
    <x:row r="8">
      <x:c r="A8" t="str">
        <x:v>Rangpur</x:v>
      </x:c>
      <x:c r="B8" t="n">
        <x:v>25.7439</x:v>
      </x:c>
      <x:c r="C8" t="n">
        <x:v>89.2752</x:v>
      </x:c>
      <x:c r="D8" t="n">
        <x:v>78</x:v>
      </x:c>
      <x:c r="E8" t="n">
        <x:v>2892</x:v>
      </x:c>
      <x:c r="F8" t="str">
        <x:v>Medium</x:v>
      </x:c>
      <x:c r="G8" t="str">
        <x:v>Use for Bangladesh/regional demand map</x:v>
      </x:c>
    </x:row>
    <x:row r="9">
      <x:c r="A9" t="str">
        <x:v>Mymensingh</x:v>
      </x:c>
      <x:c r="B9" t="n">
        <x:v>24.7471</x:v>
      </x:c>
      <x:c r="C9" t="n">
        <x:v>90.4203</x:v>
      </x:c>
      <x:c r="D9" t="n">
        <x:v>60</x:v>
      </x:c>
      <x:c r="E9" t="n">
        <x:v>1966</x:v>
      </x:c>
      <x:c r="F9" t="str">
        <x:v>Medium</x:v>
      </x:c>
      <x:c r="G9" t="str">
        <x:v>Use for Bangladesh/regional demand map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22" hidden="0" customWidth="1"/>
    <x:col min="4" max="4" width="16" hidden="0" customWidth="1"/>
    <x:col min="5" max="5" width="12" hidden="0" customWidth="1"/>
    <x:col min="6" max="6" width="12" hidden="0" customWidth="1"/>
    <x:col min="7" max="7" width="12" hidden="0" customWidth="1"/>
    <x:col min="8" max="8" width="16" hidden="0" customWidth="1"/>
    <x:col min="9" max="9" width="12" hidden="0" customWidth="1"/>
    <x:col min="10" max="10" width="44" hidden="0" customWidth="1"/>
  </x:cols>
  <x:sheetData>
    <x:row r="1">
      <x:c r="A1" s="16" t="str">
        <x:v>NodeID</x:v>
      </x:c>
      <x:c r="B1" s="16" t="str">
        <x:v>NodeType</x:v>
      </x:c>
      <x:c r="C1" s="16" t="str">
        <x:v>Name</x:v>
      </x:c>
      <x:c r="D1" s="16" t="str">
        <x:v>Region</x:v>
      </x:c>
      <x:c r="E1" s="16" t="str">
        <x:v>Latitude</x:v>
      </x:c>
      <x:c r="F1" s="16" t="str">
        <x:v>Longitude</x:v>
      </x:c>
      <x:c r="G1" s="16" t="str">
        <x:v>NextNodeID</x:v>
      </x:c>
      <x:c r="H1" s="16" t="str">
        <x:v>AvgTransitDays</x:v>
      </x:c>
      <x:c r="I1" s="16" t="str">
        <x:v>RiskLevel</x:v>
      </x:c>
      <x:c r="J1" s="16" t="str">
        <x:v>Notes</x:v>
      </x:c>
    </x:row>
    <x:row r="2">
      <x:c r="A2" t="str">
        <x:v>S1</x:v>
      </x:c>
      <x:c r="B2" t="str">
        <x:v>Supplier</x:v>
      </x:c>
      <x:c r="C2" t="str">
        <x:v>Main Supplier</x:v>
      </x:c>
      <x:c r="D2" t="str">
        <x:v>Chattogram</x:v>
      </x:c>
      <x:c r="E2" t="n">
        <x:v>22.3569</x:v>
      </x:c>
      <x:c r="F2" t="n">
        <x:v>91.7832</x:v>
      </x:c>
      <x:c r="G2" t="str">
        <x:v>W1</x:v>
      </x:c>
      <x:c r="H2" t="n">
        <x:v>6</x:v>
      </x:c>
      <x:c r="I2" t="str">
        <x:v>Medium</x:v>
      </x:c>
      <x:c r="J2" t="str">
        <x:v>Use for SCM flow map supplier → warehouse → retailer → customer</x:v>
      </x:c>
    </x:row>
    <x:row r="3">
      <x:c r="A3" t="str">
        <x:v>W1</x:v>
      </x:c>
      <x:c r="B3" t="str">
        <x:v>Warehouse</x:v>
      </x:c>
      <x:c r="C3" t="str">
        <x:v>Central Warehouse</x:v>
      </x:c>
      <x:c r="D3" t="str">
        <x:v>Dhaka</x:v>
      </x:c>
      <x:c r="E3" t="n">
        <x:v>23.8103</x:v>
      </x:c>
      <x:c r="F3" t="n">
        <x:v>90.4125</x:v>
      </x:c>
      <x:c r="G3" t="str">
        <x:v>R1</x:v>
      </x:c>
      <x:c r="H3" t="n">
        <x:v>2</x:v>
      </x:c>
      <x:c r="I3" t="str">
        <x:v>Low</x:v>
      </x:c>
      <x:c r="J3" t="str">
        <x:v>Use for SCM flow map supplier → warehouse → retailer → customer</x:v>
      </x:c>
    </x:row>
    <x:row r="4">
      <x:c r="A4" t="str">
        <x:v>R1</x:v>
      </x:c>
      <x:c r="B4" t="str">
        <x:v>Retailer</x:v>
      </x:c>
      <x:c r="C4" t="str">
        <x:v>Retail Network</x:v>
      </x:c>
      <x:c r="D4" t="str">
        <x:v>Dhaka</x:v>
      </x:c>
      <x:c r="E4" t="n">
        <x:v>23.7806</x:v>
      </x:c>
      <x:c r="F4" t="n">
        <x:v>90.2794</x:v>
      </x:c>
      <x:c r="G4" t="str">
        <x:v>C1</x:v>
      </x:c>
      <x:c r="H4" t="n">
        <x:v>1</x:v>
      </x:c>
      <x:c r="I4" t="str">
        <x:v>Low</x:v>
      </x:c>
      <x:c r="J4" t="str">
        <x:v>Use for SCM flow map supplier → warehouse → retailer → customer</x:v>
      </x:c>
    </x:row>
    <x:row r="5">
      <x:c r="A5" t="str">
        <x:v>C1</x:v>
      </x:c>
      <x:c r="B5" t="str">
        <x:v>Customer</x:v>
      </x:c>
      <x:c r="C5" t="str">
        <x:v>End Customer Zone</x:v>
      </x:c>
      <x:c r="D5" t="str">
        <x:v>Dhaka</x:v>
      </x:c>
      <x:c r="E5" t="n">
        <x:v>23.7465</x:v>
      </x:c>
      <x:c r="F5" t="n">
        <x:v>90.376</x:v>
      </x:c>
      <x:c r="G5" t="str"/>
      <x:c r="H5" t="n">
        <x:v>0</x:v>
      </x:c>
      <x:c r="I5" t="str">
        <x:v>Low</x:v>
      </x:c>
      <x:c r="J5" t="str">
        <x:v>Use for SCM flow map supplier → warehouse → retailer → customer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8" hidden="0" customWidth="1"/>
    <x:col min="4" max="4" width="18" hidden="0" customWidth="1"/>
    <x:col min="5" max="5" width="16" hidden="0" customWidth="1"/>
    <x:col min="6" max="6" width="20" hidden="0" customWidth="1"/>
    <x:col min="7" max="7" width="44" hidden="0" customWidth="1"/>
  </x:cols>
  <x:sheetData>
    <x:row r="1">
      <x:c r="A1" s="16" t="str">
        <x:v>CustomerSegment</x:v>
      </x:c>
      <x:c r="B1" s="16" t="str">
        <x:v>Region</x:v>
      </x:c>
      <x:c r="C1" s="16" t="str">
        <x:v>PreferredChannel</x:v>
      </x:c>
      <x:c r="D1" s="16" t="str">
        <x:v>PurchaseFrequency</x:v>
      </x:c>
      <x:c r="E1" s="16" t="str">
        <x:v>AvgBasketUnits</x:v>
      </x:c>
      <x:c r="F1" s="16" t="str">
        <x:v>AvgBasketValueBDT</x:v>
      </x:c>
      <x:c r="G1" s="16" t="str">
        <x:v>DemandPatternNote</x:v>
      </x:c>
    </x:row>
    <x:row r="2">
      <x:c r="A2" t="str">
        <x:v>Teen/Youth</x:v>
      </x:c>
      <x:c r="B2" t="str">
        <x:v>Dhaka</x:v>
      </x:c>
      <x:c r="C2" t="str">
        <x:v>Online</x:v>
      </x:c>
      <x:c r="D2" t="str">
        <x:v>Monthly</x:v>
      </x:c>
      <x:c r="E2" t="n">
        <x:v>1</x:v>
      </x:c>
      <x:c r="F2" t="n">
        <x:v>29</x:v>
      </x:c>
      <x:c r="G2" t="str">
        <x:v>Regular demand</x:v>
      </x:c>
    </x:row>
    <x:row r="3">
      <x:c r="A3" t="str">
        <x:v>Working Professionals</x:v>
      </x:c>
      <x:c r="B3" t="str">
        <x:v>Chattogram</x:v>
      </x:c>
      <x:c r="C3" t="str">
        <x:v>Wholesale</x:v>
      </x:c>
      <x:c r="D3" t="str">
        <x:v>Bi-weekly</x:v>
      </x:c>
      <x:c r="E3" t="n">
        <x:v>4</x:v>
      </x:c>
      <x:c r="F3" t="n">
        <x:v>80</x:v>
      </x:c>
      <x:c r="G3" t="str">
        <x:v>Regular demand</x:v>
      </x:c>
    </x:row>
    <x:row r="4">
      <x:c r="A4" t="str">
        <x:v>Families</x:v>
      </x:c>
      <x:c r="B4" t="str">
        <x:v>Sylhet</x:v>
      </x:c>
      <x:c r="C4" t="str">
        <x:v>Modern Trade</x:v>
      </x:c>
      <x:c r="D4" t="str">
        <x:v>Weekly</x:v>
      </x:c>
      <x:c r="E4" t="n">
        <x:v>4</x:v>
      </x:c>
      <x:c r="F4" t="n">
        <x:v>84</x:v>
      </x:c>
      <x:c r="G4" t="str">
        <x:v>Regular demand</x:v>
      </x:c>
    </x:row>
    <x:row r="5">
      <x:c r="A5" t="str">
        <x:v>Retail Buyers</x:v>
      </x:c>
      <x:c r="B5" t="str">
        <x:v>Rajshahi</x:v>
      </x:c>
      <x:c r="C5" t="str">
        <x:v>Retail</x:v>
      </x:c>
      <x:c r="D5" t="str">
        <x:v>Weekly</x:v>
      </x:c>
      <x:c r="E5" t="n">
        <x:v>6</x:v>
      </x:c>
      <x:c r="F5" t="n">
        <x:v>126</x:v>
      </x:c>
      <x:c r="G5" t="str">
        <x:v>Regular demand</x:v>
      </x:c>
    </x:row>
    <x:row r="6">
      <x:c r="A6" t="str">
        <x:v>Premium Customers</x:v>
      </x:c>
      <x:c r="B6" t="str">
        <x:v>Khulna</x:v>
      </x:c>
      <x:c r="C6" t="str">
        <x:v>Online</x:v>
      </x:c>
      <x:c r="D6" t="str">
        <x:v>Bi-weekly</x:v>
      </x:c>
      <x:c r="E6" t="n">
        <x:v>5</x:v>
      </x:c>
      <x:c r="F6" t="n">
        <x:v>150</x:v>
      </x:c>
      <x:c r="G6" t="str">
        <x:v>Regular demand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22" hidden="0" customWidth="1"/>
    <x:col min="4" max="4" width="28" hidden="0" customWidth="1"/>
    <x:col min="5" max="5" width="18" hidden="0" customWidth="1"/>
    <x:col min="6" max="6" width="18" hidden="0" customWidth="1"/>
    <x:col min="7" max="7" width="44" hidden="0" customWidth="1"/>
  </x:cols>
  <x:sheetData>
    <x:row r="1">
      <x:c r="A1" s="16" t="str">
        <x:v>SourceType</x:v>
      </x:c>
      <x:c r="B1" s="16" t="str">
        <x:v>Status</x:v>
      </x:c>
      <x:c r="C1" s="16" t="str">
        <x:v>ConnectorType</x:v>
      </x:c>
      <x:c r="D1" s="16" t="str">
        <x:v>FileOrAPI</x:v>
      </x:c>
      <x:c r="E1" s="16" t="str">
        <x:v>RecordsDetected</x:v>
      </x:c>
      <x:c r="F1" s="16" t="str">
        <x:v>DataQualityScore</x:v>
      </x:c>
      <x:c r="G1" s="16" t="str">
        <x:v>Notes</x:v>
      </x:c>
    </x:row>
    <x:row r="2">
      <x:c r="A2" t="str">
        <x:v>CSV Upload</x:v>
      </x:c>
      <x:c r="B2" t="str">
        <x:v>Available</x:v>
      </x:c>
      <x:c r="C2" t="str">
        <x:v>csvConnector</x:v>
      </x:c>
      <x:c r="D2" t="str">
        <x:v>uploaded_sales.csv</x:v>
      </x:c>
      <x:c r="E2" t="n">
        <x:v>104</x:v>
      </x:c>
      <x:c r="F2" t="n">
        <x:v>92</x:v>
      </x:c>
      <x:c r="G2" t="str">
        <x:v>Flat file import</x:v>
      </x:c>
    </x:row>
    <x:row r="3">
      <x:c r="A3" t="str">
        <x:v>Excel Upload</x:v>
      </x:c>
      <x:c r="B3" t="str">
        <x:v>Available</x:v>
      </x:c>
      <x:c r="C3" t="str">
        <x:v>excelConnector</x:v>
      </x:c>
      <x:c r="D3" t="str">
        <x:v>demand_workbook.xlsx</x:v>
      </x:c>
      <x:c r="E3" t="n">
        <x:v>53</x:v>
      </x:c>
      <x:c r="F3" t="n">
        <x:v>93</x:v>
      </x:c>
      <x:c r="G3" t="str">
        <x:v>This workbook</x:v>
      </x:c>
    </x:row>
    <x:row r="4">
      <x:c r="A4" t="str">
        <x:v>JSON Upload</x:v>
      </x:c>
      <x:c r="B4" t="str">
        <x:v>Available</x:v>
      </x:c>
      <x:c r="C4" t="str">
        <x:v>jsonConnector</x:v>
      </x:c>
      <x:c r="D4" t="str">
        <x:v>customer_demand.json</x:v>
      </x:c>
      <x:c r="E4" t="n">
        <x:v>83</x:v>
      </x:c>
      <x:c r="F4" t="n">
        <x:v>88</x:v>
      </x:c>
      <x:c r="G4" t="str">
        <x:v>Nested data import</x:v>
      </x:c>
    </x:row>
    <x:row r="5">
      <x:c r="A5" t="str">
        <x:v>Web Search API</x:v>
      </x:c>
      <x:c r="B5" t="str">
        <x:v>Available if key exists</x:v>
      </x:c>
      <x:c r="C5" t="str">
        <x:v>webSearchConnector</x:v>
      </x:c>
      <x:c r="D5" t="str">
        <x:v>Tavily/SerpAPI/Bing</x:v>
      </x:c>
      <x:c r="E5" t="n">
        <x:v>20</x:v>
      </x:c>
      <x:c r="F5" t="n">
        <x:v>67</x:v>
      </x:c>
      <x:c r="G5" t="str">
        <x:v>Public market research</x:v>
      </x:c>
    </x:row>
    <x:row r="6">
      <x:c r="A6" t="str">
        <x:v>ERP</x:v>
      </x:c>
      <x:c r="B6" t="str">
        <x:v>Placeholder</x:v>
      </x:c>
      <x:c r="C6" t="str">
        <x:v>erpConnector</x:v>
      </x:c>
      <x:c r="D6" t="str">
        <x:v>Future MCP connector</x:v>
      </x:c>
      <x:c r="E6" t="n">
        <x:v>0</x:v>
      </x:c>
      <x:c r="F6"/>
      <x:c r="G6" t="str">
        <x:v>MCP-ready placeholder</x:v>
      </x:c>
    </x:row>
    <x:row r="7">
      <x:c r="A7" t="str">
        <x:v>POS</x:v>
      </x:c>
      <x:c r="B7" t="str">
        <x:v>Placeholder</x:v>
      </x:c>
      <x:c r="C7" t="str">
        <x:v>posConnector</x:v>
      </x:c>
      <x:c r="D7" t="str">
        <x:v>Future MCP connector</x:v>
      </x:c>
      <x:c r="E7" t="n">
        <x:v>0</x:v>
      </x:c>
      <x:c r="F7"/>
      <x:c r="G7" t="str">
        <x:v>MCP-ready placeholder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0" hidden="0" customWidth="1"/>
    <x:col min="3" max="3" width="40" hidden="0" customWidth="1"/>
    <x:col min="4" max="4" width="24" hidden="0" customWidth="1"/>
    <x:col min="5" max="5" width="44" hidden="0" customWidth="1"/>
  </x:cols>
  <x:sheetData>
    <x:row r="1">
      <x:c r="A1" s="16" t="str">
        <x:v>DataNeed</x:v>
      </x:c>
      <x:c r="B1" s="16" t="str">
        <x:v>SearchQuery</x:v>
      </x:c>
      <x:c r="C1" s="16" t="str">
        <x:v>SuggestedUse</x:v>
      </x:c>
      <x:c r="D1" s="16" t="str">
        <x:v>RequiredFor</x:v>
      </x:c>
      <x:c r="E1" s="16" t="str">
        <x:v>ExampleSourceURL</x:v>
      </x:c>
    </x:row>
    <x:row r="2">
      <x:c r="A2" t="str">
        <x:v>Market Trends</x:v>
      </x:c>
      <x:c r="B2" t="str">
        <x:v>Biscuit Pack Olympic Food Bangladesh market trend 2025</x:v>
      </x:c>
      <x:c r="C2" t="str">
        <x:v>Summarize product/category demand direction</x:v>
      </x:c>
      <x:c r="D2" t="str">
        <x:v>Market Trends</x:v>
      </x:c>
      <x:c r="E2" t="str">
        <x:v>https://www.google.com/search?q=market+trend</x:v>
      </x:c>
    </x:row>
    <x:row r="3">
      <x:c r="A3" t="str">
        <x:v>Seasonality</x:v>
      </x:c>
      <x:c r="B3" t="str">
        <x:v>Biscuit Pack demand Ramadan Eid Bangladesh</x:v>
      </x:c>
      <x:c r="C3" t="str">
        <x:v>Detect festival demand uplift</x:v>
      </x:c>
      <x:c r="D3" t="str">
        <x:v>Seasonality</x:v>
      </x:c>
      <x:c r="E3" t="str">
        <x:v>https://www.google.com/search?q=Ramadan+Eid+demand</x:v>
      </x:c>
    </x:row>
    <x:row r="4">
      <x:c r="A4" t="str">
        <x:v>Economic Conditions</x:v>
      </x:c>
      <x:c r="B4" t="str">
        <x:v>Bangladesh inflation purchasing power consumer goods 2025</x:v>
      </x:c>
      <x:c r="C4" t="str">
        <x:v>Adjust forecast based on economy</x:v>
      </x:c>
      <x:c r="D4" t="str">
        <x:v>Economic Conditions</x:v>
      </x:c>
      <x:c r="E4" t="str">
        <x:v>https://www.bb.org.bd/</x:v>
      </x:c>
    </x:row>
    <x:row r="5">
      <x:c r="A5" t="str">
        <x:v>Competitor Activities</x:v>
      </x:c>
      <x:c r="B5" t="str">
        <x:v>Food competitor pricing promotions Bangladesh Olympic</x:v>
      </x:c>
      <x:c r="C5" t="str">
        <x:v>Compare competitor pricing/promo</x:v>
      </x:c>
      <x:c r="D5" t="str">
        <x:v>Competitor Activities</x:v>
      </x:c>
      <x:c r="E5" t="str">
        <x:v>https://www.google.com/search?q=competitor+pricing</x:v>
      </x:c>
    </x:row>
    <x:row r="6">
      <x:c r="A6" t="str">
        <x:v>Customer Demand Patterns</x:v>
      </x:c>
      <x:c r="B6" t="str">
        <x:v>Biscuit Pack online retail demand Bangladesh Dhaka Chattogram</x:v>
      </x:c>
      <x:c r="C6" t="str">
        <x:v>Estimate regional/channel demand</x:v>
      </x:c>
      <x:c r="D6" t="str">
        <x:v>Customer Demand Patterns</x:v>
      </x:c>
      <x:c r="E6" t="str">
        <x:v>https://www.google.com/search?q=retail+demand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4" hidden="0" customWidth="1"/>
    <x:col min="3" max="3" width="14" hidden="0" customWidth="1"/>
    <x:col min="4" max="4" width="38" hidden="0" customWidth="1"/>
    <x:col min="5" max="5" width="14" hidden="0" customWidth="1"/>
    <x:col min="6" max="6" width="44" hidden="0" customWidth="1"/>
  </x:cols>
  <x:sheetData>
    <x:row r="1">
      <x:c r="A1" s="16" t="str">
        <x:v>ExpertName</x:v>
      </x:c>
      <x:c r="B1" s="16" t="str">
        <x:v>Role</x:v>
      </x:c>
      <x:c r="C1" s="16" t="str">
        <x:v>OpinionDate</x:v>
      </x:c>
      <x:c r="D1" s="16" t="str">
        <x:v>DemandSignal</x:v>
      </x:c>
      <x:c r="E1" s="16" t="str">
        <x:v>ConfidencePct</x:v>
      </x:c>
      <x:c r="F1" s="16" t="str">
        <x:v>Notes</x:v>
      </x:c>
    </x:row>
    <x:row r="2">
      <x:c r="A2" t="str">
        <x:v>Expert 1</x:v>
      </x:c>
      <x:c r="B2" t="str">
        <x:v>Sales Manager</x:v>
      </x:c>
      <x:c r="C2" t="n">
        <x:v>45536</x:v>
      </x:c>
      <x:c r="D2" t="str">
        <x:v>High demand before Eid</x:v>
      </x:c>
      <x:c r="E2" t="n">
        <x:v>85</x:v>
      </x:c>
      <x:c r="F2" t="str">
        <x:v>Qualitative input for expert-opinion forecasting</x:v>
      </x:c>
    </x:row>
    <x:row r="3">
      <x:c r="A3" t="str">
        <x:v>Expert 2</x:v>
      </x:c>
      <x:c r="B3" t="str">
        <x:v>Demand Planner</x:v>
      </x:c>
      <x:c r="C3" t="n">
        <x:v>45546</x:v>
      </x:c>
      <x:c r="D3" t="str">
        <x:v>Competitor pricing could reduce demand</x:v>
      </x:c>
      <x:c r="E3" t="n">
        <x:v>75</x:v>
      </x:c>
      <x:c r="F3" t="str">
        <x:v>Qualitative input for expert-opinion forecasting</x:v>
      </x:c>
    </x:row>
    <x:row r="4">
      <x:c r="A4" t="str">
        <x:v>Expert 3</x:v>
      </x:c>
      <x:c r="B4" t="str">
        <x:v>Inventory Manager</x:v>
      </x:c>
      <x:c r="C4" t="n">
        <x:v>45556</x:v>
      </x:c>
      <x:c r="D4" t="str">
        <x:v>Online demand rising</x:v>
      </x:c>
      <x:c r="E4" t="n">
        <x:v>85</x:v>
      </x:c>
      <x:c r="F4" t="str">
        <x:v>Qualitative input for expert-opinion forecasting</x:v>
      </x:c>
    </x:row>
    <x:row r="5">
      <x:c r="A5" t="str">
        <x:v>Expert 4</x:v>
      </x:c>
      <x:c r="B5" t="str">
        <x:v>Marketing Lead</x:v>
      </x:c>
      <x:c r="C5" t="n">
        <x:v>45566</x:v>
      </x:c>
      <x:c r="D5" t="str">
        <x:v>Inventory should be increased before campaign</x:v>
      </x:c>
      <x:c r="E5" t="n">
        <x:v>73</x:v>
      </x:c>
      <x:c r="F5" t="str">
        <x:v>Qualitative input for expert-opinion forecasting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5" hidden="0" customWidth="1"/>
    <x:col min="3" max="3" width="48" hidden="0" customWidth="1"/>
  </x:cols>
  <x:sheetData>
    <x:row r="1">
      <x:c r="A1" s="28" t="str">
        <x:v>IssueType</x:v>
      </x:c>
      <x:c r="B1" s="28" t="str">
        <x:v>Description</x:v>
      </x:c>
      <x:c r="C1" s="28" t="str">
        <x:v>ExpectedValidationBehavior</x:v>
      </x:c>
    </x:row>
    <x:row r="2">
      <x:c r="A2" t="str">
        <x:v>Issue 1</x:v>
      </x:c>
      <x:c r="B2" t="str">
        <x:v>No intentional data quality issue. Clean scenario.</x:v>
      </x:c>
      <x:c r="C2" t="str">
        <x:v>Detect, warn user, and continue analysis where possible</x:v>
      </x:c>
    </x:row>
  </x:sheetData>
  <x:pageMargins left="0.7" right="0.7" top="0.75" bottom="0.75" header="0.3" footer="0.3"/>
</x:worksheet>
</file>