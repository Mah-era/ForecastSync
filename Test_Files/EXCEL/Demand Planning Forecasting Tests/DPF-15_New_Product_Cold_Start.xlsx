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7346c124a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4fd07a87510f4dcd"/>
    <x:sheet xmlns:r="http://schemas.openxmlformats.org/officeDocument/2006/relationships" name="Historical_Sales" sheetId="2" r:id="R1a62a64dc4884821"/>
    <x:sheet xmlns:r="http://schemas.openxmlformats.org/officeDocument/2006/relationships" name="Inventory" sheetId="3" r:id="Ra74ec8a4e3694ef9"/>
    <x:sheet xmlns:r="http://schemas.openxmlformats.org/officeDocument/2006/relationships" name="Promotions" sheetId="4" r:id="Rd52fee84ad0e436d"/>
    <x:sheet xmlns:r="http://schemas.openxmlformats.org/officeDocument/2006/relationships" name="Competitors" sheetId="5" r:id="R66224c72ca7641a0"/>
    <x:sheet xmlns:r="http://schemas.openxmlformats.org/officeDocument/2006/relationships" name="Economic" sheetId="6" r:id="Rc9f96f0370274c51"/>
    <x:sheet xmlns:r="http://schemas.openxmlformats.org/officeDocument/2006/relationships" name="Lead_Time" sheetId="7" r:id="R5b9dbce6d94d46b3"/>
    <x:sheet xmlns:r="http://schemas.openxmlformats.org/officeDocument/2006/relationships" name="Forecast_Actual" sheetId="8" r:id="Rc4d01112c9804263"/>
    <x:sheet xmlns:r="http://schemas.openxmlformats.org/officeDocument/2006/relationships" name="Regional_Demand_Map" sheetId="9" r:id="Rafcca037c6ce4547"/>
    <x:sheet xmlns:r="http://schemas.openxmlformats.org/officeDocument/2006/relationships" name="SCM_Flow_Map" sheetId="10" r:id="R8b8423e00a624359"/>
    <x:sheet xmlns:r="http://schemas.openxmlformats.org/officeDocument/2006/relationships" name="Customer_Patterns" sheetId="11" r:id="Re8a67aa7a97b4b38"/>
    <x:sheet xmlns:r="http://schemas.openxmlformats.org/officeDocument/2006/relationships" name="Technology_Data" sheetId="12" r:id="Rbf77faa40d6b4059"/>
    <x:sheet xmlns:r="http://schemas.openxmlformats.org/officeDocument/2006/relationships" name="Web_Search_Seeds" sheetId="13" r:id="R29a2373039774f1b"/>
    <x:sheet xmlns:r="http://schemas.openxmlformats.org/officeDocument/2006/relationships" name="Manual_Expert_Opinion" sheetId="14" r:id="Rcc6b432711d54553"/>
    <x:sheet xmlns:r="http://schemas.openxmlformats.org/officeDocument/2006/relationships" name="Data_Issues" sheetId="15" r:id="R68b3dad7f0c1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3479a68f842c2" /><Relationship Type="http://schemas.openxmlformats.org/officeDocument/2006/relationships/theme" Target="/xl/theme/theme1.xml" Id="R5ae9918db1854d92" /><Relationship Type="http://schemas.openxmlformats.org/officeDocument/2006/relationships/sharedStrings" Target="/xl/sharedStrings.xml" Id="R5c8ef2ebef404e47" /><Relationship Type="http://schemas.openxmlformats.org/officeDocument/2006/relationships/worksheet" Target="/xl/worksheets/sheet1.xml" Id="R4fd07a87510f4dcd" /><Relationship Type="http://schemas.openxmlformats.org/officeDocument/2006/relationships/worksheet" Target="/xl/worksheets/sheet2.xml" Id="R1a62a64dc4884821" /><Relationship Type="http://schemas.openxmlformats.org/officeDocument/2006/relationships/worksheet" Target="/xl/worksheets/sheet3.xml" Id="Ra74ec8a4e3694ef9" /><Relationship Type="http://schemas.openxmlformats.org/officeDocument/2006/relationships/worksheet" Target="/xl/worksheets/sheet4.xml" Id="Rd52fee84ad0e436d" /><Relationship Type="http://schemas.openxmlformats.org/officeDocument/2006/relationships/worksheet" Target="/xl/worksheets/sheet5.xml" Id="R66224c72ca7641a0" /><Relationship Type="http://schemas.openxmlformats.org/officeDocument/2006/relationships/worksheet" Target="/xl/worksheets/sheet6.xml" Id="Rc9f96f0370274c51" /><Relationship Type="http://schemas.openxmlformats.org/officeDocument/2006/relationships/worksheet" Target="/xl/worksheets/sheet7.xml" Id="R5b9dbce6d94d46b3" /><Relationship Type="http://schemas.openxmlformats.org/officeDocument/2006/relationships/worksheet" Target="/xl/worksheets/sheet8.xml" Id="Rc4d01112c9804263" /><Relationship Type="http://schemas.openxmlformats.org/officeDocument/2006/relationships/worksheet" Target="/xl/worksheets/sheet9.xml" Id="Rafcca037c6ce4547" /><Relationship Type="http://schemas.openxmlformats.org/officeDocument/2006/relationships/worksheet" Target="/xl/worksheets/sheet10.xml" Id="R8b8423e00a624359" /><Relationship Type="http://schemas.openxmlformats.org/officeDocument/2006/relationships/worksheet" Target="/xl/worksheets/sheet11.xml" Id="Re8a67aa7a97b4b38" /><Relationship Type="http://schemas.openxmlformats.org/officeDocument/2006/relationships/worksheet" Target="/xl/worksheets/sheet12.xml" Id="Rbf77faa40d6b4059" /><Relationship Type="http://schemas.openxmlformats.org/officeDocument/2006/relationships/worksheet" Target="/xl/worksheets/sheet13.xml" Id="R29a2373039774f1b" /><Relationship Type="http://schemas.openxmlformats.org/officeDocument/2006/relationships/worksheet" Target="/xl/worksheets/sheet14.xml" Id="Rcc6b432711d54553" /><Relationship Type="http://schemas.openxmlformats.org/officeDocument/2006/relationships/worksheet" Target="/xl/worksheets/sheet15.xml" Id="R68b3dad7f0c14e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DPF-15</x:v>
      </x:c>
    </x:row>
    <x:row r="3">
      <x:c r="A3" t="str">
        <x:v>Scenario Title</x:v>
      </x:c>
      <x:c r="B3" t="str">
        <x:v>New Product Cold Start</x:v>
      </x:c>
    </x:row>
    <x:row r="4">
      <x:c r="A4" t="str">
        <x:v>Purpose</x:v>
      </x:c>
      <x:c r="B4" t="str">
        <x:v>Test limited historical sales and qualitative forecast.</x:v>
      </x:c>
    </x:row>
    <x:row r="5">
      <x:c r="A5" t="str">
        <x:v>Product Name</x:v>
      </x:c>
      <x:c r="B5" t="str">
        <x:v>Dry Shampoo Spray</x:v>
      </x:c>
    </x:row>
    <x:row r="6">
      <x:c r="A6" t="str">
        <x:v>Category</x:v>
      </x:c>
      <x:c r="B6" t="str">
        <x:v>Hair Care</x:v>
      </x:c>
    </x:row>
    <x:row r="7">
      <x:c r="A7" t="str">
        <x:v>Brand</x:v>
      </x:c>
      <x:c r="B7" t="str">
        <x:v>NewBrand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Forecasting Methods, Market Trends, Manual Opinion</x:v>
      </x:c>
    </x:row>
    <x:row r="11">
      <x:c r="A11" t="str">
        <x:v>Recommended Inputs To Tick</x:v>
      </x:c>
      <x:c r="B11" t="str">
        <x:v>Online Web Search Data, Expert Opinion / Manual Notes, Market Trends</x:v>
      </x:c>
    </x:row>
    <x:row r="12">
      <x:c r="A12" t="str">
        <x:v>Recommended Outputs To Tick</x:v>
      </x:c>
      <x:c r="B12" t="str">
        <x:v>Demand Forecast, Final SCM Recommendation, Forecast Confidence Score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Dry Shampoo Spray</x:v>
      </x:c>
      <x:c r="C2" t="str">
        <x:v>Hair Care</x:v>
      </x:c>
      <x:c r="D2" t="str">
        <x:v>NewBrand</x:v>
      </x:c>
      <x:c r="E2" t="str">
        <x:v>Dhaka</x:v>
      </x:c>
      <x:c r="F2" t="str">
        <x:v>Retail</x:v>
      </x:c>
      <x:c r="G2" t="n">
        <x:v>84</x:v>
      </x:c>
      <x:c r="H2" t="n">
        <x:v>550</x:v>
      </x:c>
      <x:c r="I2" t="n">
        <x:v>46200</x:v>
      </x:c>
      <x:c r="J2" t="str">
        <x:v>Cold-start limited sales history</x:v>
      </x:c>
    </x:row>
    <x:row r="3">
      <x:c r="A3" t="n">
        <x:v>45323</x:v>
      </x:c>
      <x:c r="B3" t="str">
        <x:v>Dry Shampoo Spray</x:v>
      </x:c>
      <x:c r="C3" t="str">
        <x:v>Hair Care</x:v>
      </x:c>
      <x:c r="D3" t="str">
        <x:v>NewBrand</x:v>
      </x:c>
      <x:c r="E3" t="str">
        <x:v>Chattogram</x:v>
      </x:c>
      <x:c r="F3" t="str">
        <x:v>Online</x:v>
      </x:c>
      <x:c r="G3" t="n">
        <x:v>114</x:v>
      </x:c>
      <x:c r="H3" t="n">
        <x:v>550</x:v>
      </x:c>
      <x:c r="I3" t="n">
        <x:v>62700</x:v>
      </x:c>
      <x:c r="J3" t="str">
        <x:v>Cold-start limited sales history</x:v>
      </x:c>
    </x:row>
    <x:row r="4">
      <x:c r="A4" t="n">
        <x:v>45352</x:v>
      </x:c>
      <x:c r="B4" t="str">
        <x:v>Dry Shampoo Spray</x:v>
      </x:c>
      <x:c r="C4" t="str">
        <x:v>Hair Care</x:v>
      </x:c>
      <x:c r="D4" t="str">
        <x:v>NewBrand</x:v>
      </x:c>
      <x:c r="E4" t="str">
        <x:v>Sylhet</x:v>
      </x:c>
      <x:c r="F4" t="str">
        <x:v>Wholesale</x:v>
      </x:c>
      <x:c r="G4" t="n">
        <x:v>156</x:v>
      </x:c>
      <x:c r="H4" t="n">
        <x:v>550</x:v>
      </x:c>
      <x:c r="I4" t="n">
        <x:v>85800</x:v>
      </x:c>
      <x:c r="J4" t="str">
        <x:v>Cold-start limited sales history</x:v>
      </x:c>
    </x:row>
    <x:row r="5">
      <x:c r="A5" t="n">
        <x:v>45383</x:v>
      </x:c>
      <x:c r="B5" t="str">
        <x:v>Dry Shampoo Spray</x:v>
      </x:c>
      <x:c r="C5" t="str">
        <x:v>Hair Care</x:v>
      </x:c>
      <x:c r="D5" t="str">
        <x:v>NewBrand</x:v>
      </x:c>
      <x:c r="E5" t="str">
        <x:v>Rajshahi</x:v>
      </x:c>
      <x:c r="F5" t="str">
        <x:v>Modern Trade</x:v>
      </x:c>
      <x:c r="G5" t="n">
        <x:v>196</x:v>
      </x:c>
      <x:c r="H5" t="n">
        <x:v>550</x:v>
      </x:c>
      <x:c r="I5" t="n">
        <x:v>107800</x:v>
      </x:c>
      <x:c r="J5" t="str">
        <x:v>Cold-start limited sales history</x:v>
      </x:c>
    </x:row>
    <x:row r="6">
      <x:c r="A6" t="n">
        <x:v>45413</x:v>
      </x:c>
      <x:c r="B6" t="str">
        <x:v>Dry Shampoo Spray</x:v>
      </x:c>
      <x:c r="C6" t="str">
        <x:v>Hair Care</x:v>
      </x:c>
      <x:c r="D6" t="str">
        <x:v>NewBrand</x:v>
      </x:c>
      <x:c r="E6" t="str">
        <x:v>Khulna</x:v>
      </x:c>
      <x:c r="F6" t="str">
        <x:v>Retail</x:v>
      </x:c>
      <x:c r="G6" t="n">
        <x:v>265</x:v>
      </x:c>
      <x:c r="H6" t="n">
        <x:v>550</x:v>
      </x:c>
      <x:c r="I6" t="n">
        <x:v>145750</x:v>
      </x:c>
      <x:c r="J6" t="str">
        <x:v>Cold-start limited sales history</x:v>
      </x:c>
    </x:row>
    <x:row r="7">
      <x:c r="A7" t="n">
        <x:v>45444</x:v>
      </x:c>
      <x:c r="B7" t="str">
        <x:v>Dry Shampoo Spray</x:v>
      </x:c>
      <x:c r="C7" t="str">
        <x:v>Hair Care</x:v>
      </x:c>
      <x:c r="D7" t="str">
        <x:v>NewBrand</x:v>
      </x:c>
      <x:c r="E7" t="str">
        <x:v>Barishal</x:v>
      </x:c>
      <x:c r="F7" t="str">
        <x:v>Online</x:v>
      </x:c>
      <x:c r="G7" t="n">
        <x:v>295</x:v>
      </x:c>
      <x:c r="H7" t="n">
        <x:v>550</x:v>
      </x:c>
      <x:c r="I7" t="n">
        <x:v>162250</x:v>
      </x:c>
      <x:c r="J7" t="str">
        <x:v>Cold-start limited sales history</x:v>
      </x:c>
    </x:row>
    <x:row r="8">
      <x:c r="A8" t="n">
        <x:v>45474</x:v>
      </x:c>
      <x:c r="B8" t="str">
        <x:v>Dry Shampoo Spray</x:v>
      </x:c>
      <x:c r="C8" t="str">
        <x:v>Hair Care</x:v>
      </x:c>
      <x:c r="D8" t="str">
        <x:v>NewBrand</x:v>
      </x:c>
      <x:c r="E8" t="str">
        <x:v>Rangpur</x:v>
      </x:c>
      <x:c r="F8" t="str">
        <x:v>Wholesale</x:v>
      </x:c>
      <x:c r="G8" t="n">
        <x:v>348</x:v>
      </x:c>
      <x:c r="H8" t="n">
        <x:v>550</x:v>
      </x:c>
      <x:c r="I8" t="n">
        <x:v>191400</x:v>
      </x:c>
      <x:c r="J8" t="str"/>
    </x:row>
    <x:row r="9">
      <x:c r="A9" t="n">
        <x:v>45505</x:v>
      </x:c>
      <x:c r="B9" t="str">
        <x:v>Dry Shampoo Spray</x:v>
      </x:c>
      <x:c r="C9" t="str">
        <x:v>Hair Care</x:v>
      </x:c>
      <x:c r="D9" t="str">
        <x:v>NewBrand</x:v>
      </x:c>
      <x:c r="E9" t="str">
        <x:v>Mymensingh</x:v>
      </x:c>
      <x:c r="F9" t="str">
        <x:v>Modern Trade</x:v>
      </x:c>
      <x:c r="G9" t="n">
        <x:v>331</x:v>
      </x:c>
      <x:c r="H9" t="n">
        <x:v>550</x:v>
      </x:c>
      <x:c r="I9" t="n">
        <x:v>182050</x:v>
      </x:c>
      <x:c r="J9" t="str"/>
    </x:row>
    <x:row r="10">
      <x:c r="A10" t="n">
        <x:v>45536</x:v>
      </x:c>
      <x:c r="B10" t="str">
        <x:v>Dry Shampoo Spray</x:v>
      </x:c>
      <x:c r="C10" t="str">
        <x:v>Hair Care</x:v>
      </x:c>
      <x:c r="D10" t="str">
        <x:v>NewBrand</x:v>
      </x:c>
      <x:c r="E10" t="str">
        <x:v>Dhaka</x:v>
      </x:c>
      <x:c r="F10" t="str">
        <x:v>Retail</x:v>
      </x:c>
      <x:c r="G10" t="n">
        <x:v>337</x:v>
      </x:c>
      <x:c r="H10" t="n">
        <x:v>550</x:v>
      </x:c>
      <x:c r="I10" t="n">
        <x:v>185350</x:v>
      </x:c>
      <x:c r="J10" t="str"/>
    </x:row>
    <x:row r="11">
      <x:c r="A11" t="n">
        <x:v>45566</x:v>
      </x:c>
      <x:c r="B11" t="str">
        <x:v>Dry Shampoo Spray</x:v>
      </x:c>
      <x:c r="C11" t="str">
        <x:v>Hair Care</x:v>
      </x:c>
      <x:c r="D11" t="str">
        <x:v>NewBrand</x:v>
      </x:c>
      <x:c r="E11" t="str">
        <x:v>Chattogram</x:v>
      </x:c>
      <x:c r="F11" t="str">
        <x:v>Online</x:v>
      </x:c>
      <x:c r="G11" t="n">
        <x:v>346</x:v>
      </x:c>
      <x:c r="H11" t="n">
        <x:v>550</x:v>
      </x:c>
      <x:c r="I11" t="n">
        <x:v>190300</x:v>
      </x:c>
      <x:c r="J11" t="str"/>
    </x:row>
    <x:row r="12">
      <x:c r="A12" t="n">
        <x:v>45597</x:v>
      </x:c>
      <x:c r="B12" t="str">
        <x:v>Dry Shampoo Spray</x:v>
      </x:c>
      <x:c r="C12" t="str">
        <x:v>Hair Care</x:v>
      </x:c>
      <x:c r="D12" t="str">
        <x:v>NewBrand</x:v>
      </x:c>
      <x:c r="E12" t="str">
        <x:v>Sylhet</x:v>
      </x:c>
      <x:c r="F12" t="str">
        <x:v>Wholesale</x:v>
      </x:c>
      <x:c r="G12" t="n">
        <x:v>326</x:v>
      </x:c>
      <x:c r="H12" t="n">
        <x:v>550</x:v>
      </x:c>
      <x:c r="I12" t="n">
        <x:v>179300</x:v>
      </x:c>
      <x:c r="J12" t="str"/>
    </x:row>
    <x:row r="13">
      <x:c r="A13" t="n">
        <x:v>45627</x:v>
      </x:c>
      <x:c r="B13" t="str">
        <x:v>Dry Shampoo Spray</x:v>
      </x:c>
      <x:c r="C13" t="str">
        <x:v>Hair Care</x:v>
      </x:c>
      <x:c r="D13" t="str">
        <x:v>NewBrand</x:v>
      </x:c>
      <x:c r="E13" t="str">
        <x:v>Rajshahi</x:v>
      </x:c>
      <x:c r="F13" t="str">
        <x:v>Modern Trade</x:v>
      </x:c>
      <x:c r="G13" t="n">
        <x:v>353</x:v>
      </x:c>
      <x:c r="H13" t="n">
        <x:v>550</x:v>
      </x:c>
      <x:c r="I13" t="n">
        <x:v>194150</x:v>
      </x:c>
      <x:c r="J13" t="str"/>
    </x:row>
    <x:row r="14">
      <x:c r="A14" t="n">
        <x:v>45658</x:v>
      </x:c>
      <x:c r="B14" t="str">
        <x:v>Dry Shampoo Spray</x:v>
      </x:c>
      <x:c r="C14" t="str">
        <x:v>Hair Care</x:v>
      </x:c>
      <x:c r="D14" t="str">
        <x:v>NewBrand</x:v>
      </x:c>
      <x:c r="E14" t="str">
        <x:v>Khulna</x:v>
      </x:c>
      <x:c r="F14" t="str">
        <x:v>Retail</x:v>
      </x:c>
      <x:c r="G14" t="n">
        <x:v>396</x:v>
      </x:c>
      <x:c r="H14" t="n">
        <x:v>550</x:v>
      </x:c>
      <x:c r="I14" t="n">
        <x:v>217800</x:v>
      </x:c>
      <x:c r="J14" t="str"/>
    </x:row>
    <x:row r="15">
      <x:c r="A15" t="n">
        <x:v>45689</x:v>
      </x:c>
      <x:c r="B15" t="str">
        <x:v>Dry Shampoo Spray</x:v>
      </x:c>
      <x:c r="C15" t="str">
        <x:v>Hair Care</x:v>
      </x:c>
      <x:c r="D15" t="str">
        <x:v>NewBrand</x:v>
      </x:c>
      <x:c r="E15" t="str">
        <x:v>Barishal</x:v>
      </x:c>
      <x:c r="F15" t="str">
        <x:v>Online</x:v>
      </x:c>
      <x:c r="G15" t="n">
        <x:v>362</x:v>
      </x:c>
      <x:c r="H15" t="n">
        <x:v>550</x:v>
      </x:c>
      <x:c r="I15" t="n">
        <x:v>199100</x:v>
      </x:c>
      <x:c r="J15" t="str"/>
    </x:row>
    <x:row r="16">
      <x:c r="A16" t="n">
        <x:v>45717</x:v>
      </x:c>
      <x:c r="B16" t="str">
        <x:v>Dry Shampoo Spray</x:v>
      </x:c>
      <x:c r="C16" t="str">
        <x:v>Hair Care</x:v>
      </x:c>
      <x:c r="D16" t="str">
        <x:v>NewBrand</x:v>
      </x:c>
      <x:c r="E16" t="str">
        <x:v>Rangpur</x:v>
      </x:c>
      <x:c r="F16" t="str">
        <x:v>Wholesale</x:v>
      </x:c>
      <x:c r="G16" t="n">
        <x:v>385</x:v>
      </x:c>
      <x:c r="H16" t="n">
        <x:v>550</x:v>
      </x:c>
      <x:c r="I16" t="n">
        <x:v>211750</x:v>
      </x:c>
      <x:c r="J16" t="str"/>
    </x:row>
    <x:row r="17">
      <x:c r="A17" t="n">
        <x:v>45748</x:v>
      </x:c>
      <x:c r="B17" t="str">
        <x:v>Dry Shampoo Spray</x:v>
      </x:c>
      <x:c r="C17" t="str">
        <x:v>Hair Care</x:v>
      </x:c>
      <x:c r="D17" t="str">
        <x:v>NewBrand</x:v>
      </x:c>
      <x:c r="E17" t="str">
        <x:v>Mymensingh</x:v>
      </x:c>
      <x:c r="F17" t="str">
        <x:v>Modern Trade</x:v>
      </x:c>
      <x:c r="G17" t="n">
        <x:v>390</x:v>
      </x:c>
      <x:c r="H17" t="n">
        <x:v>550</x:v>
      </x:c>
      <x:c r="I17" t="n">
        <x:v>214500</x:v>
      </x:c>
      <x:c r="J17" t="str"/>
    </x:row>
    <x:row r="18">
      <x:c r="A18" t="n">
        <x:v>45778</x:v>
      </x:c>
      <x:c r="B18" t="str">
        <x:v>Dry Shampoo Spray</x:v>
      </x:c>
      <x:c r="C18" t="str">
        <x:v>Hair Care</x:v>
      </x:c>
      <x:c r="D18" t="str">
        <x:v>NewBrand</x:v>
      </x:c>
      <x:c r="E18" t="str">
        <x:v>Dhaka</x:v>
      </x:c>
      <x:c r="F18" t="str">
        <x:v>Retail</x:v>
      </x:c>
      <x:c r="G18" t="n">
        <x:v>367</x:v>
      </x:c>
      <x:c r="H18" t="n">
        <x:v>550</x:v>
      </x:c>
      <x:c r="I18" t="n">
        <x:v>201850</x:v>
      </x:c>
      <x:c r="J18" t="str"/>
    </x:row>
    <x:row r="19">
      <x:c r="A19" t="n">
        <x:v>45809</x:v>
      </x:c>
      <x:c r="B19" t="str">
        <x:v>Dry Shampoo Spray</x:v>
      </x:c>
      <x:c r="C19" t="str">
        <x:v>Hair Care</x:v>
      </x:c>
      <x:c r="D19" t="str">
        <x:v>NewBrand</x:v>
      </x:c>
      <x:c r="E19" t="str">
        <x:v>Chattogram</x:v>
      </x:c>
      <x:c r="F19" t="str">
        <x:v>Online</x:v>
      </x:c>
      <x:c r="G19" t="n">
        <x:v>351</x:v>
      </x:c>
      <x:c r="H19" t="n">
        <x:v>550</x:v>
      </x:c>
      <x:c r="I19" t="n">
        <x:v>193050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NEW-DPF-15-01</x:v>
      </x:c>
      <x:c r="B2" t="str">
        <x:v>Dry Shampoo Spray</x:v>
      </x:c>
      <x:c r="C2" t="str">
        <x:v>Hair Care</x:v>
      </x:c>
      <x:c r="D2" t="str">
        <x:v>NewBrand</x:v>
      </x:c>
      <x:c r="E2" t="str">
        <x:v>Dhaka</x:v>
      </x:c>
      <x:c r="F2" t="str">
        <x:v>Dhaka DC</x:v>
      </x:c>
      <x:c r="G2" t="n">
        <x:v>2097</x:v>
      </x:c>
      <x:c r="H2" t="n">
        <x:v>642</x:v>
      </x:c>
      <x:c r="I2" t="n">
        <x:v>1411</x:v>
      </x:c>
      <x:c r="J2" t="n">
        <x:v>211</x:v>
      </x:c>
      <x:c r="K2" t="n">
        <x:v>120</x:v>
      </x:c>
      <x:c r="L2" t="n">
        <x:v>45672</x:v>
      </x:c>
      <x:c r="M2" t="str">
        <x:v>OK</x:v>
      </x:c>
    </x:row>
    <x:row r="3">
      <x:c r="A3" t="str">
        <x:v>NEW-DPF-15-02</x:v>
      </x:c>
      <x:c r="B3" t="str">
        <x:v>Dry Shampoo Spray</x:v>
      </x:c>
      <x:c r="C3" t="str">
        <x:v>Hair Care</x:v>
      </x:c>
      <x:c r="D3" t="str">
        <x:v>NewBrand</x:v>
      </x:c>
      <x:c r="E3" t="str">
        <x:v>Chattogram</x:v>
      </x:c>
      <x:c r="F3" t="str">
        <x:v>Chattogram DC</x:v>
      </x:c>
      <x:c r="G3" t="n">
        <x:v>3390</x:v>
      </x:c>
      <x:c r="H3" t="n">
        <x:v>449</x:v>
      </x:c>
      <x:c r="I3" t="n">
        <x:v>1093</x:v>
      </x:c>
      <x:c r="J3" t="n">
        <x:v>549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NEW-DPF-15-03</x:v>
      </x:c>
      <x:c r="B4" t="str">
        <x:v>Dry Shampoo Spray</x:v>
      </x:c>
      <x:c r="C4" t="str">
        <x:v>Hair Care</x:v>
      </x:c>
      <x:c r="D4" t="str">
        <x:v>NewBrand</x:v>
      </x:c>
      <x:c r="E4" t="str">
        <x:v>Sylhet</x:v>
      </x:c>
      <x:c r="F4" t="str">
        <x:v>Sylhet DC</x:v>
      </x:c>
      <x:c r="G4" t="n">
        <x:v>1125</x:v>
      </x:c>
      <x:c r="H4" t="n">
        <x:v>678</x:v>
      </x:c>
      <x:c r="I4" t="n">
        <x:v>1276</x:v>
      </x:c>
      <x:c r="J4" t="n">
        <x:v>522</x:v>
      </x:c>
      <x:c r="K4" t="n">
        <x:v>120</x:v>
      </x:c>
      <x:c r="L4" t="n">
        <x:v>45674</x:v>
      </x:c>
      <x:c r="M4" t="str">
        <x:v>Reorder Needed</x:v>
      </x:c>
    </x:row>
    <x:row r="5">
      <x:c r="A5" t="str">
        <x:v>NEW-DPF-15-04</x:v>
      </x:c>
      <x:c r="B5" t="str">
        <x:v>Dry Shampoo Spray</x:v>
      </x:c>
      <x:c r="C5" t="str">
        <x:v>Hair Care</x:v>
      </x:c>
      <x:c r="D5" t="str">
        <x:v>NewBrand</x:v>
      </x:c>
      <x:c r="E5" t="str">
        <x:v>Rajshahi</x:v>
      </x:c>
      <x:c r="F5" t="str">
        <x:v>Rajshahi DC</x:v>
      </x:c>
      <x:c r="G5" t="n">
        <x:v>1478</x:v>
      </x:c>
      <x:c r="H5" t="n">
        <x:v>643</x:v>
      </x:c>
      <x:c r="I5" t="n">
        <x:v>1424</x:v>
      </x:c>
      <x:c r="J5" t="n">
        <x:v>549</x:v>
      </x:c>
      <x:c r="K5" t="n">
        <x:v>120</x:v>
      </x:c>
      <x:c r="L5" t="n">
        <x:v>45675</x:v>
      </x:c>
      <x:c r="M5" t="str">
        <x:v>OK</x:v>
      </x:c>
    </x:row>
    <x:row r="6">
      <x:c r="A6" t="str">
        <x:v>NEW-DPF-15-05</x:v>
      </x:c>
      <x:c r="B6" t="str">
        <x:v>Dry Shampoo Spray</x:v>
      </x:c>
      <x:c r="C6" t="str">
        <x:v>Hair Care</x:v>
      </x:c>
      <x:c r="D6" t="str">
        <x:v>NewBrand</x:v>
      </x:c>
      <x:c r="E6" t="str">
        <x:v>Khulna</x:v>
      </x:c>
      <x:c r="F6" t="str">
        <x:v>Khulna DC</x:v>
      </x:c>
      <x:c r="G6" t="n">
        <x:v>2630</x:v>
      </x:c>
      <x:c r="H6" t="n">
        <x:v>558</x:v>
      </x:c>
      <x:c r="I6" t="n">
        <x:v>1315</x:v>
      </x:c>
      <x:c r="J6" t="n">
        <x:v>507</x:v>
      </x:c>
      <x:c r="K6" t="n">
        <x:v>120</x:v>
      </x:c>
      <x:c r="L6" t="n">
        <x:v>45676</x:v>
      </x:c>
      <x:c r="M6" t="str">
        <x:v>OK</x:v>
      </x:c>
    </x:row>
    <x:row r="7">
      <x:c r="A7" t="str">
        <x:v>NEW-DPF-15-06</x:v>
      </x:c>
      <x:c r="B7" t="str">
        <x:v>Dry Shampoo Spray</x:v>
      </x:c>
      <x:c r="C7" t="str">
        <x:v>Hair Care</x:v>
      </x:c>
      <x:c r="D7" t="str">
        <x:v>NewBrand</x:v>
      </x:c>
      <x:c r="E7" t="str">
        <x:v>Barishal</x:v>
      </x:c>
      <x:c r="F7" t="str">
        <x:v>Barishal DC</x:v>
      </x:c>
      <x:c r="G7" t="n">
        <x:v>3214</x:v>
      </x:c>
      <x:c r="H7" t="n">
        <x:v>661</x:v>
      </x:c>
      <x:c r="I7" t="n">
        <x:v>1403</x:v>
      </x:c>
      <x:c r="J7" t="n">
        <x:v>368</x:v>
      </x:c>
      <x:c r="K7" t="n">
        <x:v>120</x:v>
      </x:c>
      <x:c r="L7" t="n">
        <x:v>45677</x:v>
      </x:c>
      <x:c r="M7" t="str">
        <x:v>Overstock Risk</x:v>
      </x:c>
    </x:row>
    <x:row r="8">
      <x:c r="A8" t="str">
        <x:v>NEW-DPF-15-07</x:v>
      </x:c>
      <x:c r="B8" t="str">
        <x:v>Dry Shampoo Spray</x:v>
      </x:c>
      <x:c r="C8" t="str">
        <x:v>Hair Care</x:v>
      </x:c>
      <x:c r="D8" t="str">
        <x:v>NewBrand</x:v>
      </x:c>
      <x:c r="E8" t="str">
        <x:v>Rangpur</x:v>
      </x:c>
      <x:c r="F8" t="str">
        <x:v>Rangpur DC</x:v>
      </x:c>
      <x:c r="G8" t="n">
        <x:v>2591</x:v>
      </x:c>
      <x:c r="H8" t="n">
        <x:v>486</x:v>
      </x:c>
      <x:c r="I8" t="n">
        <x:v>1359</x:v>
      </x:c>
      <x:c r="J8" t="n">
        <x:v>236</x:v>
      </x:c>
      <x:c r="K8" t="n">
        <x:v>120</x:v>
      </x:c>
      <x:c r="L8" t="n">
        <x:v>45678</x:v>
      </x:c>
      <x:c r="M8" t="str">
        <x:v>OK</x:v>
      </x:c>
    </x:row>
    <x:row r="9">
      <x:c r="A9" t="str">
        <x:v>NEW-DPF-15-08</x:v>
      </x:c>
      <x:c r="B9" t="str">
        <x:v>Dry Shampoo Spray</x:v>
      </x:c>
      <x:c r="C9" t="str">
        <x:v>Hair Care</x:v>
      </x:c>
      <x:c r="D9" t="str">
        <x:v>NewBrand</x:v>
      </x:c>
      <x:c r="E9" t="str">
        <x:v>Mymensingh</x:v>
      </x:c>
      <x:c r="F9" t="str">
        <x:v>Mymensingh DC</x:v>
      </x:c>
      <x:c r="G9" t="n">
        <x:v>2522</x:v>
      </x:c>
      <x:c r="H9" t="n">
        <x:v>702</x:v>
      </x:c>
      <x:c r="I9" t="n">
        <x:v>1427</x:v>
      </x:c>
      <x:c r="J9" t="n">
        <x:v>570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21.8</x:v>
      </x:c>
      <x:c r="G2" t="n">
        <x:v>15.9</x:v>
      </x:c>
      <x:c r="H2" t="n">
        <x:v>137508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25.4</x:v>
      </x:c>
      <x:c r="G3" t="n">
        <x:v>17.4</x:v>
      </x:c>
      <x:c r="H3" t="n">
        <x:v>94959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24.8</x:v>
      </x:c>
      <x:c r="G4" t="n">
        <x:v>26.6</x:v>
      </x:c>
      <x:c r="H4" t="n">
        <x:v>81942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11.5</x:v>
      </x:c>
      <x:c r="G5" t="n">
        <x:v>9.7</x:v>
      </x:c>
      <x:c r="H5" t="n">
        <x:v>92280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Hair Care</x:v>
      </x:c>
      <x:c r="E2" t="n">
        <x:v>618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Hair Care</x:v>
      </x:c>
      <x:c r="E3" t="n">
        <x:v>529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Hair Care</x:v>
      </x:c>
      <x:c r="E4" t="n">
        <x:v>479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Hair Care</x:v>
      </x:c>
      <x:c r="E5" t="n">
        <x:v>576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7.58</x:v>
      </x:c>
      <x:c r="C2" t="n">
        <x:v>99.75</x:v>
      </x:c>
      <x:c r="D2" t="n">
        <x:v>87.04</x:v>
      </x:c>
      <x:c r="E2" t="n">
        <x:v>109</x:v>
      </x:c>
      <x:c r="F2" t="str">
        <x:v>Medium</x:v>
      </x:c>
      <x:c r="G2" t="str">
        <x:v>Economic conditions for demand adjustment</x:v>
      </x:c>
    </x:row>
    <x:row r="3">
      <x:c r="A3" t="n">
        <x:v>45323</x:v>
      </x:c>
      <x:c r="B3" t="n">
        <x:v>7.64</x:v>
      </x:c>
      <x:c r="C3" t="n">
        <x:v>100.89</x:v>
      </x:c>
      <x:c r="D3" t="n">
        <x:v>87.28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8.4</x:v>
      </x:c>
      <x:c r="C4" t="n">
        <x:v>100.41</x:v>
      </x:c>
      <x:c r="D4" t="n">
        <x:v>85.84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8.66</x:v>
      </x:c>
      <x:c r="C5" t="n">
        <x:v>101.29</x:v>
      </x:c>
      <x:c r="D5" t="n">
        <x:v>85.67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8.89</x:v>
      </x:c>
      <x:c r="C6" t="n">
        <x:v>101.11</x:v>
      </x:c>
      <x:c r="D6" t="n">
        <x:v>85.22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8.69</x:v>
      </x:c>
      <x:c r="C7" t="n">
        <x:v>101.66</x:v>
      </x:c>
      <x:c r="D7" t="n">
        <x:v>85.73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8.81</x:v>
      </x:c>
      <x:c r="C8" t="n">
        <x:v>102.49</x:v>
      </x:c>
      <x:c r="D8" t="n">
        <x:v>85.77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8.12</x:v>
      </x:c>
      <x:c r="C9" t="n">
        <x:v>103.04</x:v>
      </x:c>
      <x:c r="D9" t="n">
        <x:v>87.1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8.13</x:v>
      </x:c>
      <x:c r="C10" t="n">
        <x:v>102.79</x:v>
      </x:c>
      <x:c r="D10" t="n">
        <x:v>87.02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7.88</x:v>
      </x:c>
      <x:c r="C11" t="n">
        <x:v>103.29</x:v>
      </x:c>
      <x:c r="D11" t="n">
        <x:v>87.59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7.21</x:v>
      </x:c>
      <x:c r="C12" t="n">
        <x:v>103.94</x:v>
      </x:c>
      <x:c r="D12" t="n">
        <x:v>88.92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7.09</x:v>
      </x:c>
      <x:c r="C13" t="n">
        <x:v>103.29</x:v>
      </x:c>
      <x:c r="D13" t="n">
        <x:v>88.93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6.49</x:v>
      </x:c>
      <x:c r="C14" t="n">
        <x:v>103.17</x:v>
      </x:c>
      <x:c r="D14" t="n">
        <x:v>89.92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6.41</x:v>
      </x:c>
      <x:c r="C15" t="n">
        <x:v>103.16</x:v>
      </x:c>
      <x:c r="D15" t="n">
        <x:v>90.05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6.51</x:v>
      </x:c>
      <x:c r="C16" t="n">
        <x:v>104.78</x:v>
      </x:c>
      <x:c r="D16" t="n">
        <x:v>90.36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6.59</x:v>
      </x:c>
      <x:c r="C17" t="n">
        <x:v>105.02</x:v>
      </x:c>
      <x:c r="D17" t="n">
        <x:v>90.31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6.25</x:v>
      </x:c>
      <x:c r="C18" t="n">
        <x:v>105.05</x:v>
      </x:c>
      <x:c r="D18" t="n">
        <x:v>90.89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7.01</x:v>
      </x:c>
      <x:c r="C19" t="n">
        <x:v>104.13</x:v>
      </x:c>
      <x:c r="D19" t="n">
        <x:v>89.33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3</x:v>
      </x:c>
      <x:c r="E2" t="n">
        <x:v>12</x:v>
      </x:c>
      <x:c r="F2" t="n">
        <x:v>9</x:v>
      </x:c>
      <x:c r="G2" t="n">
        <x:v>1</x:v>
      </x:c>
      <x:c r="H2" t="n">
        <x:v>25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5</x:v>
      </x:c>
      <x:c r="E3" t="n">
        <x:v>8</x:v>
      </x:c>
      <x:c r="F3" t="n">
        <x:v>4</x:v>
      </x:c>
      <x:c r="G3" t="n">
        <x:v>3</x:v>
      </x:c>
      <x:c r="H3" t="n">
        <x:v>20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3</x:v>
      </x:c>
      <x:c r="E4" t="n">
        <x:v>9</x:v>
      </x:c>
      <x:c r="F4" t="n">
        <x:v>3</x:v>
      </x:c>
      <x:c r="G4" t="n">
        <x:v>3</x:v>
      </x:c>
      <x:c r="H4" t="n">
        <x:v>18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4</x:v>
      </x:c>
      <x:c r="E5" t="n">
        <x:v>6</x:v>
      </x:c>
      <x:c r="F5" t="n">
        <x:v>7</x:v>
      </x:c>
      <x:c r="G5" t="n">
        <x:v>2</x:v>
      </x:c>
      <x:c r="H5" t="n">
        <x:v>19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273</x:v>
      </x:c>
      <x:c r="C2" t="n">
        <x:v>292</x:v>
      </x:c>
      <x:c r="D2" t="n">
        <x:f>C2-B2</x:f>
        <x:v>19</x:v>
      </x:c>
      <x:c r="E2" t="n">
        <x:f>ABS(D2)</x:f>
        <x:v>19</x:v>
      </x:c>
      <x:c r="F2" s="22" t="n">
        <x:f>IFERROR(E2/C2,0)</x:f>
        <x:v>0.06506849315068493</x:v>
      </x:c>
      <x:c r="G2" t="str">
        <x:v>Formula columns should calculate error and accuracy</x:v>
      </x:c>
    </x:row>
    <x:row r="3">
      <x:c r="A3" t="n">
        <x:v>45505</x:v>
      </x:c>
      <x:c r="B3" t="n">
        <x:v>320</x:v>
      </x:c>
      <x:c r="C3" t="n">
        <x:v>359</x:v>
      </x:c>
      <x:c r="D3" t="n">
        <x:f>C3-B3</x:f>
        <x:v>39</x:v>
      </x:c>
      <x:c r="E3" t="n">
        <x:f>ABS(D3)</x:f>
        <x:v>39</x:v>
      </x:c>
      <x:c r="F3" s="22" t="n">
        <x:f>IFERROR(E3/C3,0)</x:f>
        <x:v>0.10863509749303621</x:v>
      </x:c>
      <x:c r="G3" t="str">
        <x:v>Formula columns should calculate error and accuracy</x:v>
      </x:c>
    </x:row>
    <x:row r="4">
      <x:c r="A4" t="n">
        <x:v>45536</x:v>
      </x:c>
      <x:c r="B4" t="n">
        <x:v>308</x:v>
      </x:c>
      <x:c r="C4" t="n">
        <x:v>264</x:v>
      </x:c>
      <x:c r="D4" t="n">
        <x:f>C4-B4</x:f>
        <x:v>-44</x:v>
      </x:c>
      <x:c r="E4" t="n">
        <x:f>ABS(D4)</x:f>
        <x:v>44</x:v>
      </x:c>
      <x:c r="F4" s="22" t="n">
        <x:f>IFERROR(E4/C4,0)</x:f>
        <x:v>0.16666666666666666</x:v>
      </x:c>
      <x:c r="G4" t="str">
        <x:v>Formula columns should calculate error and accuracy</x:v>
      </x:c>
    </x:row>
    <x:row r="5">
      <x:c r="A5" t="n">
        <x:v>45566</x:v>
      </x:c>
      <x:c r="B5" t="n">
        <x:v>292</x:v>
      </x:c>
      <x:c r="C5" t="n">
        <x:v>264</x:v>
      </x:c>
      <x:c r="D5" t="n">
        <x:f>C5-B5</x:f>
        <x:v>-28</x:v>
      </x:c>
      <x:c r="E5" t="n">
        <x:f>ABS(D5)</x:f>
        <x:v>28</x:v>
      </x:c>
      <x:c r="F5" s="22" t="n">
        <x:f>IFERROR(E5/C5,0)</x:f>
        <x:v>0.10606060606060606</x:v>
      </x:c>
      <x:c r="G5" t="str">
        <x:v>Formula columns should calculate error and accuracy</x:v>
      </x:c>
    </x:row>
    <x:row r="6">
      <x:c r="A6" t="n">
        <x:v>45597</x:v>
      </x:c>
      <x:c r="B6" t="n">
        <x:v>297</x:v>
      </x:c>
      <x:c r="C6" t="n">
        <x:v>314</x:v>
      </x:c>
      <x:c r="D6" t="n">
        <x:f>C6-B6</x:f>
        <x:v>17</x:v>
      </x:c>
      <x:c r="E6" t="n">
        <x:f>ABS(D6)</x:f>
        <x:v>17</x:v>
      </x:c>
      <x:c r="F6" s="22" t="n">
        <x:f>IFERROR(E6/C6,0)</x:f>
        <x:v>0.054140127388535034</x:v>
      </x:c>
      <x:c r="G6" t="str">
        <x:v>Formula columns should calculate error and accuracy</x:v>
      </x:c>
    </x:row>
    <x:row r="7">
      <x:c r="A7" t="n">
        <x:v>45627</x:v>
      </x:c>
      <x:c r="B7" t="n">
        <x:v>331</x:v>
      </x:c>
      <x:c r="C7" t="n">
        <x:v>330</x:v>
      </x:c>
      <x:c r="D7" t="n">
        <x:f>C7-B7</x:f>
        <x:v>-1</x:v>
      </x:c>
      <x:c r="E7" t="n">
        <x:f>ABS(D7)</x:f>
        <x:v>1</x:v>
      </x:c>
      <x:c r="F7" s="22" t="n">
        <x:f>IFERROR(E7/C7,0)</x:f>
        <x:v>0.0030303030303030303</x:v>
      </x:c>
      <x:c r="G7" t="str">
        <x:v>Formula columns should calculate error and accuracy</x:v>
      </x:c>
    </x:row>
    <x:row r="8">
      <x:c r="A8" t="n">
        <x:v>45658</x:v>
      </x:c>
      <x:c r="B8" t="n">
        <x:v>303</x:v>
      </x:c>
      <x:c r="C8" t="n">
        <x:v>290</x:v>
      </x:c>
      <x:c r="D8" t="n">
        <x:f>C8-B8</x:f>
        <x:v>-13</x:v>
      </x:c>
      <x:c r="E8" t="n">
        <x:f>ABS(D8)</x:f>
        <x:v>13</x:v>
      </x:c>
      <x:c r="F8" s="22" t="n">
        <x:f>IFERROR(E8/C8,0)</x:f>
        <x:v>0.04482758620689655</x:v>
      </x:c>
      <x:c r="G8" t="str">
        <x:v>Formula columns should calculate error and accuracy</x:v>
      </x:c>
    </x:row>
    <x:row r="9">
      <x:c r="A9" t="n">
        <x:v>45689</x:v>
      </x:c>
      <x:c r="B9" t="n">
        <x:v>316</x:v>
      </x:c>
      <x:c r="C9" t="n">
        <x:v>368</x:v>
      </x:c>
      <x:c r="D9" t="n">
        <x:f>C9-B9</x:f>
        <x:v>52</x:v>
      </x:c>
      <x:c r="E9" t="n">
        <x:f>ABS(D9)</x:f>
        <x:v>52</x:v>
      </x:c>
      <x:c r="F9" s="22" t="n">
        <x:f>IFERROR(E9/C9,0)</x:f>
        <x:v>0.14130434782608695</x:v>
      </x:c>
      <x:c r="G9" t="str">
        <x:v>Formula columns should calculate error and accuracy</x:v>
      </x:c>
    </x:row>
    <x:row r="10">
      <x:c r="A10" t="n">
        <x:v>45717</x:v>
      </x:c>
      <x:c r="B10" t="n">
        <x:v>362</x:v>
      </x:c>
      <x:c r="C10" t="n">
        <x:v>366</x:v>
      </x:c>
      <x:c r="D10" t="n">
        <x:f>C10-B10</x:f>
        <x:v>4</x:v>
      </x:c>
      <x:c r="E10" t="n">
        <x:f>ABS(D10)</x:f>
        <x:v>4</x:v>
      </x:c>
      <x:c r="F10" s="22" t="n">
        <x:f>IFERROR(E10/C10,0)</x:f>
        <x:v>0.01092896174863388</x:v>
      </x:c>
      <x:c r="G10" t="str">
        <x:v>Formula columns should calculate error and accuracy</x:v>
      </x:c>
    </x:row>
    <x:row r="11">
      <x:c r="A11" t="n">
        <x:v>45748</x:v>
      </x:c>
      <x:c r="B11" t="n">
        <x:v>335</x:v>
      </x:c>
      <x:c r="C11" t="n">
        <x:v>287</x:v>
      </x:c>
      <x:c r="D11" t="n">
        <x:f>C11-B11</x:f>
        <x:v>-48</x:v>
      </x:c>
      <x:c r="E11" t="n">
        <x:f>ABS(D11)</x:f>
        <x:v>48</x:v>
      </x:c>
      <x:c r="F11" s="22" t="n">
        <x:f>IFERROR(E11/C11,0)</x:f>
        <x:v>0.1672473867595819</x:v>
      </x:c>
      <x:c r="G11" t="str">
        <x:v>Formula columns should calculate error and accuracy</x:v>
      </x:c>
    </x:row>
    <x:row r="12">
      <x:c r="A12" t="n">
        <x:v>45778</x:v>
      </x:c>
      <x:c r="B12" t="n">
        <x:v>382</x:v>
      </x:c>
      <x:c r="C12" t="n">
        <x:v>329</x:v>
      </x:c>
      <x:c r="D12" t="n">
        <x:f>C12-B12</x:f>
        <x:v>-53</x:v>
      </x:c>
      <x:c r="E12" t="n">
        <x:f>ABS(D12)</x:f>
        <x:v>53</x:v>
      </x:c>
      <x:c r="F12" s="22" t="n">
        <x:f>IFERROR(E12/C12,0)</x:f>
        <x:v>0.16109422492401215</x:v>
      </x:c>
      <x:c r="G12" t="str">
        <x:v>Formula columns should calculate error and accuracy</x:v>
      </x:c>
    </x:row>
    <x:row r="13">
      <x:c r="A13" t="n">
        <x:v>45809</x:v>
      </x:c>
      <x:c r="B13" t="n">
        <x:v>356</x:v>
      </x:c>
      <x:c r="C13" t="n">
        <x:v>335</x:v>
      </x:c>
      <x:c r="D13" t="n">
        <x:f>C13-B13</x:f>
        <x:v>-21</x:v>
      </x:c>
      <x:c r="E13" t="n">
        <x:f>ABS(D13)</x:f>
        <x:v>21</x:v>
      </x:c>
      <x:c r="F13" s="22" t="n">
        <x:f>IFERROR(E13/C13,0)</x:f>
        <x:v>0.0626865671641791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77</x:v>
      </x:c>
      <x:c r="E2" t="n">
        <x:v>263</x:v>
      </x:c>
      <x:c r="F2" t="str">
        <x:v>Medium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93</x:v>
      </x:c>
      <x:c r="E3" t="n">
        <x:v>331</x:v>
      </x:c>
      <x:c r="F3" t="str">
        <x:v>High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86</x:v>
      </x:c>
      <x:c r="E4" t="n">
        <x:v>322</x:v>
      </x:c>
      <x:c r="F4" t="str">
        <x:v>High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54</x:v>
      </x:c>
      <x:c r="E5" t="n">
        <x:v>127</x:v>
      </x:c>
      <x:c r="F5" t="str">
        <x:v>Low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81</x:v>
      </x:c>
      <x:c r="E6" t="n">
        <x:v>183</x:v>
      </x:c>
      <x:c r="F6" t="str">
        <x:v>High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86</x:v>
      </x:c>
      <x:c r="E7" t="n">
        <x:v>215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67</x:v>
      </x:c>
      <x:c r="E8" t="n">
        <x:v>223</x:v>
      </x:c>
      <x:c r="F8" t="str">
        <x:v>Medium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85</x:v>
      </x:c>
      <x:c r="E9" t="n">
        <x:v>287</x:v>
      </x:c>
      <x:c r="F9" t="str">
        <x:v>High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Festival-based</x:v>
      </x:c>
      <x:c r="E2" t="n">
        <x:v>8</x:v>
      </x:c>
      <x:c r="F2" t="n">
        <x:v>5790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Weekly</x:v>
      </x:c>
      <x:c r="E3" t="n">
        <x:v>2</x:v>
      </x:c>
      <x:c r="F3" t="n">
        <x:v>972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Weekly</x:v>
      </x:c>
      <x:c r="E4" t="n">
        <x:v>7</x:v>
      </x:c>
      <x:c r="F4" t="n">
        <x:v>3892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Festival-based</x:v>
      </x:c>
      <x:c r="E5" t="n">
        <x:v>6</x:v>
      </x:c>
      <x:c r="F5" t="n">
        <x:v>4206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Bi-weekly</x:v>
      </x:c>
      <x:c r="E6" t="n">
        <x:v>5</x:v>
      </x:c>
      <x:c r="F6" t="n">
        <x:v>3264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113</x:v>
      </x:c>
      <x:c r="F2" t="n">
        <x:v>92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173</x:v>
      </x:c>
      <x:c r="F3" t="n">
        <x:v>89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87</x:v>
      </x:c>
      <x:c r="F4" t="n">
        <x:v>79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5</x:v>
      </x:c>
      <x:c r="F5" t="n">
        <x:v>87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Dry Shampoo Spray NewBrand Hair Care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Dry Shampoo Spray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Hair Care competitor pricing promotions Bangladesh NewBrand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Dry Shampoo Spray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87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81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88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69</x:v>
      </x:c>
      <x:c r="F5" t="str">
        <x:v>Qualitative input for expert-opinion forecasting</x:v>
      </x:c>
    </x:row>
    <x:row r="6">
      <x:c r="A6" t="str">
        <x:v>Senior Buyer</x:v>
      </x:c>
      <x:c r="B6" t="str">
        <x:v>Expert</x:v>
      </x:c>
      <x:c r="C6" t="n">
        <x:v>45580</x:v>
      </x:c>
      <x:c r="D6" t="str">
        <x:v>No historical sales available; use analogous products</x:v>
      </x:c>
      <x:c r="E6" t="n">
        <x:v>75</x:v>
      </x:c>
      <x:c r="F6" t="str">
        <x:v>Cold-start qualitative scenario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reliable historical sales; app should use expert opinion and web data.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