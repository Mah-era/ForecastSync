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86249414c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13ad4a1f00684976"/>
    <x:sheet xmlns:r="http://schemas.openxmlformats.org/officeDocument/2006/relationships" name="Historical_Sales" sheetId="2" r:id="R7b9c084f1897492d"/>
    <x:sheet xmlns:r="http://schemas.openxmlformats.org/officeDocument/2006/relationships" name="Inventory" sheetId="3" r:id="R265ea82a66bc4ff5"/>
    <x:sheet xmlns:r="http://schemas.openxmlformats.org/officeDocument/2006/relationships" name="Promotions" sheetId="4" r:id="Rd0689955bcb24b8e"/>
    <x:sheet xmlns:r="http://schemas.openxmlformats.org/officeDocument/2006/relationships" name="Competitors" sheetId="5" r:id="R972afafaaae848fb"/>
    <x:sheet xmlns:r="http://schemas.openxmlformats.org/officeDocument/2006/relationships" name="Economic" sheetId="6" r:id="R468711bfb9454266"/>
    <x:sheet xmlns:r="http://schemas.openxmlformats.org/officeDocument/2006/relationships" name="Lead_Time" sheetId="7" r:id="Rca4a062bdcea41d8"/>
    <x:sheet xmlns:r="http://schemas.openxmlformats.org/officeDocument/2006/relationships" name="Forecast_Actual" sheetId="8" r:id="R76199da6289c4e9a"/>
    <x:sheet xmlns:r="http://schemas.openxmlformats.org/officeDocument/2006/relationships" name="Regional_Demand_Map" sheetId="9" r:id="R699f91b6c34c454d"/>
    <x:sheet xmlns:r="http://schemas.openxmlformats.org/officeDocument/2006/relationships" name="SCM_Flow_Map" sheetId="10" r:id="Re8008ee0bdae4d42"/>
    <x:sheet xmlns:r="http://schemas.openxmlformats.org/officeDocument/2006/relationships" name="Customer_Patterns" sheetId="11" r:id="Re2bc9d55cb5e4297"/>
    <x:sheet xmlns:r="http://schemas.openxmlformats.org/officeDocument/2006/relationships" name="Technology_Data" sheetId="12" r:id="R7eb358c4100b4a39"/>
    <x:sheet xmlns:r="http://schemas.openxmlformats.org/officeDocument/2006/relationships" name="Web_Search_Seeds" sheetId="13" r:id="R4efc27c7cf0247ab"/>
    <x:sheet xmlns:r="http://schemas.openxmlformats.org/officeDocument/2006/relationships" name="Manual_Expert_Opinion" sheetId="14" r:id="Racd17891127442e7"/>
    <x:sheet xmlns:r="http://schemas.openxmlformats.org/officeDocument/2006/relationships" name="Data_Issues" sheetId="15" r:id="R3a64ed36c72943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11258d7ff4286" /><Relationship Type="http://schemas.openxmlformats.org/officeDocument/2006/relationships/theme" Target="/xl/theme/theme1.xml" Id="R5676e7106ffb4858" /><Relationship Type="http://schemas.openxmlformats.org/officeDocument/2006/relationships/sharedStrings" Target="/xl/sharedStrings.xml" Id="R48064bfd10884b83" /><Relationship Type="http://schemas.openxmlformats.org/officeDocument/2006/relationships/worksheet" Target="/xl/worksheets/sheet1.xml" Id="R13ad4a1f00684976" /><Relationship Type="http://schemas.openxmlformats.org/officeDocument/2006/relationships/worksheet" Target="/xl/worksheets/sheet2.xml" Id="R7b9c084f1897492d" /><Relationship Type="http://schemas.openxmlformats.org/officeDocument/2006/relationships/worksheet" Target="/xl/worksheets/sheet3.xml" Id="R265ea82a66bc4ff5" /><Relationship Type="http://schemas.openxmlformats.org/officeDocument/2006/relationships/worksheet" Target="/xl/worksheets/sheet4.xml" Id="Rd0689955bcb24b8e" /><Relationship Type="http://schemas.openxmlformats.org/officeDocument/2006/relationships/worksheet" Target="/xl/worksheets/sheet5.xml" Id="R972afafaaae848fb" /><Relationship Type="http://schemas.openxmlformats.org/officeDocument/2006/relationships/worksheet" Target="/xl/worksheets/sheet6.xml" Id="R468711bfb9454266" /><Relationship Type="http://schemas.openxmlformats.org/officeDocument/2006/relationships/worksheet" Target="/xl/worksheets/sheet7.xml" Id="Rca4a062bdcea41d8" /><Relationship Type="http://schemas.openxmlformats.org/officeDocument/2006/relationships/worksheet" Target="/xl/worksheets/sheet8.xml" Id="R76199da6289c4e9a" /><Relationship Type="http://schemas.openxmlformats.org/officeDocument/2006/relationships/worksheet" Target="/xl/worksheets/sheet9.xml" Id="R699f91b6c34c454d" /><Relationship Type="http://schemas.openxmlformats.org/officeDocument/2006/relationships/worksheet" Target="/xl/worksheets/sheet10.xml" Id="Re8008ee0bdae4d42" /><Relationship Type="http://schemas.openxmlformats.org/officeDocument/2006/relationships/worksheet" Target="/xl/worksheets/sheet11.xml" Id="Re2bc9d55cb5e4297" /><Relationship Type="http://schemas.openxmlformats.org/officeDocument/2006/relationships/worksheet" Target="/xl/worksheets/sheet12.xml" Id="R7eb358c4100b4a39" /><Relationship Type="http://schemas.openxmlformats.org/officeDocument/2006/relationships/worksheet" Target="/xl/worksheets/sheet13.xml" Id="R4efc27c7cf0247ab" /><Relationship Type="http://schemas.openxmlformats.org/officeDocument/2006/relationships/worksheet" Target="/xl/worksheets/sheet14.xml" Id="Racd17891127442e7" /><Relationship Type="http://schemas.openxmlformats.org/officeDocument/2006/relationships/worksheet" Target="/xl/worksheets/sheet15.xml" Id="R3a64ed36c72943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DPF-19</x:v>
      </x:c>
    </x:row>
    <x:row r="3">
      <x:c r="A3" t="str">
        <x:v>Scenario Title</x:v>
      </x:c>
      <x:c r="B3" t="str">
        <x:v>Text Numbers and Currency Symbols</x:v>
      </x:c>
    </x:row>
    <x:row r="4">
      <x:c r="A4" t="str">
        <x:v>Purpose</x:v>
      </x:c>
      <x:c r="B4" t="str">
        <x:v>Test numeric cleaning.</x:v>
      </x:c>
    </x:row>
    <x:row r="5">
      <x:c r="A5" t="str">
        <x:v>Product Name</x:v>
      </x:c>
      <x:c r="B5" t="str">
        <x:v>Foundation Makeup</x:v>
      </x:c>
    </x:row>
    <x:row r="6">
      <x:c r="A6" t="str">
        <x:v>Category</x:v>
      </x:c>
      <x:c r="B6" t="str">
        <x:v>Cosmetics</x:v>
      </x:c>
    </x:row>
    <x:row r="7">
      <x:c r="A7" t="str">
        <x:v>Brand</x:v>
      </x:c>
      <x:c r="B7" t="str">
        <x:v>Maybelline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Messy/Edge Case</x:v>
      </x:c>
    </x:row>
    <x:row r="10">
      <x:c r="A10" t="str">
        <x:v>Modules Covered</x:v>
      </x:c>
      <x:c r="B10" t="str">
        <x:v>Historical Sales, Technology &amp; Data Tools</x:v>
      </x:c>
    </x:row>
    <x:row r="11">
      <x:c r="A11" t="str">
        <x:v>Recommended Inputs To Tick</x:v>
      </x:c>
      <x:c r="B11" t="str">
        <x:v>Uploaded File Data, Historical Sales Data</x:v>
      </x:c>
    </x:row>
    <x:row r="12">
      <x:c r="A12" t="str">
        <x:v>Recommended Outputs To Tick</x:v>
      </x:c>
      <x:c r="B12" t="str">
        <x:v>Data Quality Score, Sales Trend Analysis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Foundation Makeup</x:v>
      </x:c>
      <x:c r="C2" t="str">
        <x:v>Cosmetics</x:v>
      </x:c>
      <x:c r="D2" t="str">
        <x:v>Maybelline</x:v>
      </x:c>
      <x:c r="E2" t="str">
        <x:v>Dhaka</x:v>
      </x:c>
      <x:c r="F2" t="str">
        <x:v>Retail</x:v>
      </x:c>
      <x:c r="G2" t="str">
        <x:v>937</x:v>
      </x:c>
      <x:c r="H2" t="str">
        <x:v>৳850</x:v>
      </x:c>
      <x:c r="I2" t="str">
        <x:v>BDT 796,450</x:v>
      </x:c>
      <x:c r="J2" t="str"/>
    </x:row>
    <x:row r="3">
      <x:c r="A3" t="n">
        <x:v>45323</x:v>
      </x:c>
      <x:c r="B3" t="str">
        <x:v>Foundation Makeup</x:v>
      </x:c>
      <x:c r="C3" t="str">
        <x:v>Cosmetics</x:v>
      </x:c>
      <x:c r="D3" t="str">
        <x:v>Maybelline</x:v>
      </x:c>
      <x:c r="E3" t="str">
        <x:v>Chattogram</x:v>
      </x:c>
      <x:c r="F3" t="str">
        <x:v>Online</x:v>
      </x:c>
      <x:c r="G3" t="n">
        <x:v>1040</x:v>
      </x:c>
      <x:c r="H3" t="n">
        <x:v>850</x:v>
      </x:c>
      <x:c r="I3" t="n">
        <x:v>884000</x:v>
      </x:c>
      <x:c r="J3" t="str"/>
    </x:row>
    <x:row r="4">
      <x:c r="A4" t="n">
        <x:v>45352</x:v>
      </x:c>
      <x:c r="B4" t="str">
        <x:v>Foundation Makeup</x:v>
      </x:c>
      <x:c r="C4" t="str">
        <x:v>Cosmetics</x:v>
      </x:c>
      <x:c r="D4" t="str">
        <x:v>Maybelline</x:v>
      </x:c>
      <x:c r="E4" t="str">
        <x:v>Sylhet</x:v>
      </x:c>
      <x:c r="F4" t="str">
        <x:v>Wholesale</x:v>
      </x:c>
      <x:c r="G4" t="n">
        <x:v>924</x:v>
      </x:c>
      <x:c r="H4" t="n">
        <x:v>850</x:v>
      </x:c>
      <x:c r="I4" t="n">
        <x:v>785400</x:v>
      </x:c>
      <x:c r="J4" t="str"/>
    </x:row>
    <x:row r="5">
      <x:c r="A5" t="n">
        <x:v>45383</x:v>
      </x:c>
      <x:c r="B5" t="str">
        <x:v>Foundation Makeup</x:v>
      </x:c>
      <x:c r="C5" t="str">
        <x:v>Cosmetics</x:v>
      </x:c>
      <x:c r="D5" t="str">
        <x:v>Maybelline</x:v>
      </x:c>
      <x:c r="E5" t="str">
        <x:v>Rajshahi</x:v>
      </x:c>
      <x:c r="F5" t="str">
        <x:v>Modern Trade</x:v>
      </x:c>
      <x:c r="G5" t="n">
        <x:v>973</x:v>
      </x:c>
      <x:c r="H5" t="n">
        <x:v>850</x:v>
      </x:c>
      <x:c r="I5" t="n">
        <x:v>827050</x:v>
      </x:c>
      <x:c r="J5" t="str"/>
    </x:row>
    <x:row r="6">
      <x:c r="A6" t="n">
        <x:v>45413</x:v>
      </x:c>
      <x:c r="B6" t="str">
        <x:v>Foundation Makeup</x:v>
      </x:c>
      <x:c r="C6" t="str">
        <x:v>Cosmetics</x:v>
      </x:c>
      <x:c r="D6" t="str">
        <x:v>Maybelline</x:v>
      </x:c>
      <x:c r="E6" t="str">
        <x:v>Khulna</x:v>
      </x:c>
      <x:c r="F6" t="str">
        <x:v>Retail</x:v>
      </x:c>
      <x:c r="G6" t="str">
        <x:v>1,042</x:v>
      </x:c>
      <x:c r="H6" t="str">
        <x:v>৳850</x:v>
      </x:c>
      <x:c r="I6" t="str">
        <x:v>BDT 885,700</x:v>
      </x:c>
      <x:c r="J6" t="str"/>
    </x:row>
    <x:row r="7">
      <x:c r="A7" t="n">
        <x:v>45444</x:v>
      </x:c>
      <x:c r="B7" t="str">
        <x:v>Foundation Makeup</x:v>
      </x:c>
      <x:c r="C7" t="str">
        <x:v>Cosmetics</x:v>
      </x:c>
      <x:c r="D7" t="str">
        <x:v>Maybelline</x:v>
      </x:c>
      <x:c r="E7" t="str">
        <x:v>Barishal</x:v>
      </x:c>
      <x:c r="F7" t="str">
        <x:v>Online</x:v>
      </x:c>
      <x:c r="G7" t="n">
        <x:v>945</x:v>
      </x:c>
      <x:c r="H7" t="n">
        <x:v>850</x:v>
      </x:c>
      <x:c r="I7" t="n">
        <x:v>803250</x:v>
      </x:c>
      <x:c r="J7" t="str"/>
    </x:row>
    <x:row r="8">
      <x:c r="A8" t="n">
        <x:v>45474</x:v>
      </x:c>
      <x:c r="B8" t="str">
        <x:v>Foundation Makeup</x:v>
      </x:c>
      <x:c r="C8" t="str">
        <x:v>Cosmetics</x:v>
      </x:c>
      <x:c r="D8" t="str">
        <x:v>Maybelline</x:v>
      </x:c>
      <x:c r="E8" t="str">
        <x:v>Rangpur</x:v>
      </x:c>
      <x:c r="F8" t="str">
        <x:v>Wholesale</x:v>
      </x:c>
      <x:c r="G8" t="n">
        <x:v>964</x:v>
      </x:c>
      <x:c r="H8" t="n">
        <x:v>850</x:v>
      </x:c>
      <x:c r="I8" t="n">
        <x:v>819400</x:v>
      </x:c>
      <x:c r="J8" t="str"/>
    </x:row>
    <x:row r="9">
      <x:c r="A9" t="n">
        <x:v>45505</x:v>
      </x:c>
      <x:c r="B9" t="str">
        <x:v>Foundation Makeup</x:v>
      </x:c>
      <x:c r="C9" t="str">
        <x:v>Cosmetics</x:v>
      </x:c>
      <x:c r="D9" t="str">
        <x:v>Maybelline</x:v>
      </x:c>
      <x:c r="E9" t="str">
        <x:v>Mymensingh</x:v>
      </x:c>
      <x:c r="F9" t="str">
        <x:v>Modern Trade</x:v>
      </x:c>
      <x:c r="G9" t="n">
        <x:v>1131</x:v>
      </x:c>
      <x:c r="H9" t="n">
        <x:v>850</x:v>
      </x:c>
      <x:c r="I9" t="n">
        <x:v>961350</x:v>
      </x:c>
      <x:c r="J9" t="str"/>
    </x:row>
    <x:row r="10">
      <x:c r="A10" t="n">
        <x:v>45536</x:v>
      </x:c>
      <x:c r="B10" t="str">
        <x:v>Foundation Makeup</x:v>
      </x:c>
      <x:c r="C10" t="str">
        <x:v>Cosmetics</x:v>
      </x:c>
      <x:c r="D10" t="str">
        <x:v>Maybelline</x:v>
      </x:c>
      <x:c r="E10" t="str">
        <x:v>Dhaka</x:v>
      </x:c>
      <x:c r="F10" t="str">
        <x:v>Retail</x:v>
      </x:c>
      <x:c r="G10" t="str">
        <x:v>1,126</x:v>
      </x:c>
      <x:c r="H10" t="str">
        <x:v>৳850</x:v>
      </x:c>
      <x:c r="I10" t="str">
        <x:v>BDT 957,100</x:v>
      </x:c>
      <x:c r="J10" t="str"/>
    </x:row>
    <x:row r="11">
      <x:c r="A11" t="n">
        <x:v>45566</x:v>
      </x:c>
      <x:c r="B11" t="str">
        <x:v>Foundation Makeup</x:v>
      </x:c>
      <x:c r="C11" t="str">
        <x:v>Cosmetics</x:v>
      </x:c>
      <x:c r="D11" t="str">
        <x:v>Maybelline</x:v>
      </x:c>
      <x:c r="E11" t="str">
        <x:v>Chattogram</x:v>
      </x:c>
      <x:c r="F11" t="str">
        <x:v>Online</x:v>
      </x:c>
      <x:c r="G11" t="n">
        <x:v>1145</x:v>
      </x:c>
      <x:c r="H11" t="n">
        <x:v>850</x:v>
      </x:c>
      <x:c r="I11" t="n">
        <x:v>973250</x:v>
      </x:c>
      <x:c r="J11" t="str"/>
    </x:row>
    <x:row r="12">
      <x:c r="A12" t="n">
        <x:v>45597</x:v>
      </x:c>
      <x:c r="B12" t="str">
        <x:v>Foundation Makeup</x:v>
      </x:c>
      <x:c r="C12" t="str">
        <x:v>Cosmetics</x:v>
      </x:c>
      <x:c r="D12" t="str">
        <x:v>Maybelline</x:v>
      </x:c>
      <x:c r="E12" t="str">
        <x:v>Sylhet</x:v>
      </x:c>
      <x:c r="F12" t="str">
        <x:v>Wholesale</x:v>
      </x:c>
      <x:c r="G12" t="n">
        <x:v>1189</x:v>
      </x:c>
      <x:c r="H12" t="n">
        <x:v>850</x:v>
      </x:c>
      <x:c r="I12" t="n">
        <x:v>1010650</x:v>
      </x:c>
      <x:c r="J12" t="str"/>
    </x:row>
    <x:row r="13">
      <x:c r="A13" t="n">
        <x:v>45627</x:v>
      </x:c>
      <x:c r="B13" t="str">
        <x:v>Foundation Makeup</x:v>
      </x:c>
      <x:c r="C13" t="str">
        <x:v>Cosmetics</x:v>
      </x:c>
      <x:c r="D13" t="str">
        <x:v>Maybelline</x:v>
      </x:c>
      <x:c r="E13" t="str">
        <x:v>Rajshahi</x:v>
      </x:c>
      <x:c r="F13" t="str">
        <x:v>Modern Trade</x:v>
      </x:c>
      <x:c r="G13" t="n">
        <x:v>1192</x:v>
      </x:c>
      <x:c r="H13" t="n">
        <x:v>850</x:v>
      </x:c>
      <x:c r="I13" t="n">
        <x:v>1013200</x:v>
      </x:c>
      <x:c r="J13" t="str"/>
    </x:row>
    <x:row r="14">
      <x:c r="A14" t="n">
        <x:v>45658</x:v>
      </x:c>
      <x:c r="B14" t="str">
        <x:v>Foundation Makeup</x:v>
      </x:c>
      <x:c r="C14" t="str">
        <x:v>Cosmetics</x:v>
      </x:c>
      <x:c r="D14" t="str">
        <x:v>Maybelline</x:v>
      </x:c>
      <x:c r="E14" t="str">
        <x:v>Khulna</x:v>
      </x:c>
      <x:c r="F14" t="str">
        <x:v>Retail</x:v>
      </x:c>
      <x:c r="G14" t="str">
        <x:v>1,125</x:v>
      </x:c>
      <x:c r="H14" t="str">
        <x:v>৳850</x:v>
      </x:c>
      <x:c r="I14" t="str">
        <x:v>BDT 956,250</x:v>
      </x:c>
      <x:c r="J14" t="str"/>
    </x:row>
    <x:row r="15">
      <x:c r="A15" t="n">
        <x:v>45689</x:v>
      </x:c>
      <x:c r="B15" t="str">
        <x:v>Foundation Makeup</x:v>
      </x:c>
      <x:c r="C15" t="str">
        <x:v>Cosmetics</x:v>
      </x:c>
      <x:c r="D15" t="str">
        <x:v>Maybelline</x:v>
      </x:c>
      <x:c r="E15" t="str">
        <x:v>Barishal</x:v>
      </x:c>
      <x:c r="F15" t="str">
        <x:v>Online</x:v>
      </x:c>
      <x:c r="G15" t="n">
        <x:v>1042</x:v>
      </x:c>
      <x:c r="H15" t="n">
        <x:v>850</x:v>
      </x:c>
      <x:c r="I15" t="n">
        <x:v>885700</x:v>
      </x:c>
      <x:c r="J15" t="str"/>
    </x:row>
    <x:row r="16">
      <x:c r="A16" t="n">
        <x:v>45717</x:v>
      </x:c>
      <x:c r="B16" t="str">
        <x:v>Foundation Makeup</x:v>
      </x:c>
      <x:c r="C16" t="str">
        <x:v>Cosmetics</x:v>
      </x:c>
      <x:c r="D16" t="str">
        <x:v>Maybelline</x:v>
      </x:c>
      <x:c r="E16" t="str">
        <x:v>Rangpur</x:v>
      </x:c>
      <x:c r="F16" t="str">
        <x:v>Wholesale</x:v>
      </x:c>
      <x:c r="G16" t="n">
        <x:v>1097</x:v>
      </x:c>
      <x:c r="H16" t="n">
        <x:v>850</x:v>
      </x:c>
      <x:c r="I16" t="n">
        <x:v>932450</x:v>
      </x:c>
      <x:c r="J16" t="str"/>
    </x:row>
    <x:row r="17">
      <x:c r="A17" t="n">
        <x:v>45748</x:v>
      </x:c>
      <x:c r="B17" t="str">
        <x:v>Foundation Makeup</x:v>
      </x:c>
      <x:c r="C17" t="str">
        <x:v>Cosmetics</x:v>
      </x:c>
      <x:c r="D17" t="str">
        <x:v>Maybelline</x:v>
      </x:c>
      <x:c r="E17" t="str">
        <x:v>Mymensingh</x:v>
      </x:c>
      <x:c r="F17" t="str">
        <x:v>Modern Trade</x:v>
      </x:c>
      <x:c r="G17" t="n">
        <x:v>1166</x:v>
      </x:c>
      <x:c r="H17" t="n">
        <x:v>850</x:v>
      </x:c>
      <x:c r="I17" t="n">
        <x:v>991100</x:v>
      </x:c>
      <x:c r="J17" t="str"/>
    </x:row>
    <x:row r="18">
      <x:c r="A18" t="n">
        <x:v>45778</x:v>
      </x:c>
      <x:c r="B18" t="str">
        <x:v>Foundation Makeup</x:v>
      </x:c>
      <x:c r="C18" t="str">
        <x:v>Cosmetics</x:v>
      </x:c>
      <x:c r="D18" t="str">
        <x:v>Maybelline</x:v>
      </x:c>
      <x:c r="E18" t="str">
        <x:v>Dhaka</x:v>
      </x:c>
      <x:c r="F18" t="str">
        <x:v>Retail</x:v>
      </x:c>
      <x:c r="G18" t="str">
        <x:v>1,075</x:v>
      </x:c>
      <x:c r="H18" t="str">
        <x:v>৳850</x:v>
      </x:c>
      <x:c r="I18" t="str">
        <x:v>BDT 913,750</x:v>
      </x:c>
      <x:c r="J18" t="str"/>
    </x:row>
    <x:row r="19">
      <x:c r="A19" t="n">
        <x:v>45809</x:v>
      </x:c>
      <x:c r="B19" t="str">
        <x:v>Foundation Makeup</x:v>
      </x:c>
      <x:c r="C19" t="str">
        <x:v>Cosmetics</x:v>
      </x:c>
      <x:c r="D19" t="str">
        <x:v>Maybelline</x:v>
      </x:c>
      <x:c r="E19" t="str">
        <x:v>Chattogram</x:v>
      </x:c>
      <x:c r="F19" t="str">
        <x:v>Online</x:v>
      </x:c>
      <x:c r="G19" t="n">
        <x:v>1293</x:v>
      </x:c>
      <x:c r="H19" t="n">
        <x:v>850</x:v>
      </x:c>
      <x:c r="I19" t="n">
        <x:v>1099050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MAY-DPF-19-01</x:v>
      </x:c>
      <x:c r="B2" t="str">
        <x:v>Foundation Makeup</x:v>
      </x:c>
      <x:c r="C2" t="str">
        <x:v>Cosmetics</x:v>
      </x:c>
      <x:c r="D2" t="str">
        <x:v>Maybelline</x:v>
      </x:c>
      <x:c r="E2" t="str">
        <x:v>Dhaka</x:v>
      </x:c>
      <x:c r="F2" t="str">
        <x:v>Dhaka DC</x:v>
      </x:c>
      <x:c r="G2" t="n">
        <x:v>3403</x:v>
      </x:c>
      <x:c r="H2" t="n">
        <x:v>448</x:v>
      </x:c>
      <x:c r="I2" t="n">
        <x:v>1070</x:v>
      </x:c>
      <x:c r="J2" t="n">
        <x:v>533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MAY-DPF-19-02</x:v>
      </x:c>
      <x:c r="B3" t="str">
        <x:v>Foundation Makeup</x:v>
      </x:c>
      <x:c r="C3" t="str">
        <x:v>Cosmetics</x:v>
      </x:c>
      <x:c r="D3" t="str">
        <x:v>Maybelline</x:v>
      </x:c>
      <x:c r="E3" t="str">
        <x:v>Chattogram</x:v>
      </x:c>
      <x:c r="F3" t="str">
        <x:v>Chattogram DC</x:v>
      </x:c>
      <x:c r="G3" t="n">
        <x:v>3281</x:v>
      </x:c>
      <x:c r="H3" t="n">
        <x:v>509</x:v>
      </x:c>
      <x:c r="I3" t="n">
        <x:v>1215</x:v>
      </x:c>
      <x:c r="J3" t="n">
        <x:v>580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MAY-DPF-19-03</x:v>
      </x:c>
      <x:c r="B4" t="str">
        <x:v>Foundation Makeup</x:v>
      </x:c>
      <x:c r="C4" t="str">
        <x:v>Cosmetics</x:v>
      </x:c>
      <x:c r="D4" t="str">
        <x:v>Maybelline</x:v>
      </x:c>
      <x:c r="E4" t="str">
        <x:v>Sylhet</x:v>
      </x:c>
      <x:c r="F4" t="str">
        <x:v>Sylhet DC</x:v>
      </x:c>
      <x:c r="G4" t="n">
        <x:v>2901</x:v>
      </x:c>
      <x:c r="H4" t="n">
        <x:v>515</x:v>
      </x:c>
      <x:c r="I4" t="n">
        <x:v>1339</x:v>
      </x:c>
      <x:c r="J4" t="n">
        <x:v>353</x:v>
      </x:c>
      <x:c r="K4" t="n">
        <x:v>120</x:v>
      </x:c>
      <x:c r="L4" t="n">
        <x:v>45674</x:v>
      </x:c>
      <x:c r="M4" t="str">
        <x:v>Overstock Risk</x:v>
      </x:c>
    </x:row>
    <x:row r="5">
      <x:c r="A5" t="str">
        <x:v>MAY-DPF-19-04</x:v>
      </x:c>
      <x:c r="B5" t="str">
        <x:v>Foundation Makeup</x:v>
      </x:c>
      <x:c r="C5" t="str">
        <x:v>Cosmetics</x:v>
      </x:c>
      <x:c r="D5" t="str">
        <x:v>Maybelline</x:v>
      </x:c>
      <x:c r="E5" t="str">
        <x:v>Rajshahi</x:v>
      </x:c>
      <x:c r="F5" t="str">
        <x:v>Rajshahi DC</x:v>
      </x:c>
      <x:c r="G5" t="n">
        <x:v>2702</x:v>
      </x:c>
      <x:c r="H5" t="n">
        <x:v>474</x:v>
      </x:c>
      <x:c r="I5" t="n">
        <x:v>1044</x:v>
      </x:c>
      <x:c r="J5" t="n">
        <x:v>280</x:v>
      </x:c>
      <x:c r="K5" t="n">
        <x:v>120</x:v>
      </x:c>
      <x:c r="L5" t="n">
        <x:v>45675</x:v>
      </x:c>
      <x:c r="M5" t="str">
        <x:v>Overstock Risk</x:v>
      </x:c>
    </x:row>
    <x:row r="6">
      <x:c r="A6" t="str">
        <x:v>MAY-DPF-19-05</x:v>
      </x:c>
      <x:c r="B6" t="str">
        <x:v>Foundation Makeup</x:v>
      </x:c>
      <x:c r="C6" t="str">
        <x:v>Cosmetics</x:v>
      </x:c>
      <x:c r="D6" t="str">
        <x:v>Maybelline</x:v>
      </x:c>
      <x:c r="E6" t="str">
        <x:v>Khulna</x:v>
      </x:c>
      <x:c r="F6" t="str">
        <x:v>Khulna DC</x:v>
      </x:c>
      <x:c r="G6" t="n">
        <x:v>2583</x:v>
      </x:c>
      <x:c r="H6" t="n">
        <x:v>489</x:v>
      </x:c>
      <x:c r="I6" t="n">
        <x:v>1328</x:v>
      </x:c>
      <x:c r="J6" t="n">
        <x:v>398</x:v>
      </x:c>
      <x:c r="K6" t="n">
        <x:v>120</x:v>
      </x:c>
      <x:c r="L6" t="n">
        <x:v>45676</x:v>
      </x:c>
      <x:c r="M6" t="str">
        <x:v>OK</x:v>
      </x:c>
    </x:row>
    <x:row r="7">
      <x:c r="A7" t="str">
        <x:v>MAY-DPF-19-06</x:v>
      </x:c>
      <x:c r="B7" t="str">
        <x:v>Foundation Makeup</x:v>
      </x:c>
      <x:c r="C7" t="str">
        <x:v>Cosmetics</x:v>
      </x:c>
      <x:c r="D7" t="str">
        <x:v>Maybelline</x:v>
      </x:c>
      <x:c r="E7" t="str">
        <x:v>Barishal</x:v>
      </x:c>
      <x:c r="F7" t="str">
        <x:v>Barishal DC</x:v>
      </x:c>
      <x:c r="G7" t="n">
        <x:v>1881</x:v>
      </x:c>
      <x:c r="H7" t="n">
        <x:v>485</x:v>
      </x:c>
      <x:c r="I7" t="n">
        <x:v>1331</x:v>
      </x:c>
      <x:c r="J7" t="n">
        <x:v>487</x:v>
      </x:c>
      <x:c r="K7" t="n">
        <x:v>120</x:v>
      </x:c>
      <x:c r="L7" t="n">
        <x:v>45677</x:v>
      </x:c>
      <x:c r="M7" t="str">
        <x:v>OK</x:v>
      </x:c>
    </x:row>
    <x:row r="8">
      <x:c r="A8" t="str">
        <x:v>MAY-DPF-19-07</x:v>
      </x:c>
      <x:c r="B8" t="str">
        <x:v>Foundation Makeup</x:v>
      </x:c>
      <x:c r="C8" t="str">
        <x:v>Cosmetics</x:v>
      </x:c>
      <x:c r="D8" t="str">
        <x:v>Maybelline</x:v>
      </x:c>
      <x:c r="E8" t="str">
        <x:v>Rangpur</x:v>
      </x:c>
      <x:c r="F8" t="str">
        <x:v>Rangpur DC</x:v>
      </x:c>
      <x:c r="G8" t="n">
        <x:v>2855</x:v>
      </x:c>
      <x:c r="H8" t="n">
        <x:v>518</x:v>
      </x:c>
      <x:c r="I8" t="n">
        <x:v>1202</x:v>
      </x:c>
      <x:c r="J8" t="n">
        <x:v>165</x:v>
      </x:c>
      <x:c r="K8" t="n">
        <x:v>120</x:v>
      </x:c>
      <x:c r="L8" t="n">
        <x:v>45678</x:v>
      </x:c>
      <x:c r="M8" t="str">
        <x:v>Overstock Risk</x:v>
      </x:c>
    </x:row>
    <x:row r="9">
      <x:c r="A9" t="str">
        <x:v>MAY-DPF-19-08</x:v>
      </x:c>
      <x:c r="B9" t="str">
        <x:v>Foundation Makeup</x:v>
      </x:c>
      <x:c r="C9" t="str">
        <x:v>Cosmetics</x:v>
      </x:c>
      <x:c r="D9" t="str">
        <x:v>Maybelline</x:v>
      </x:c>
      <x:c r="E9" t="str">
        <x:v>Mymensingh</x:v>
      </x:c>
      <x:c r="F9" t="str">
        <x:v>Mymensingh DC</x:v>
      </x:c>
      <x:c r="G9" t="n">
        <x:v>2520</x:v>
      </x:c>
      <x:c r="H9" t="n">
        <x:v>705</x:v>
      </x:c>
      <x:c r="I9" t="n">
        <x:v>1539</x:v>
      </x:c>
      <x:c r="J9" t="n">
        <x:v>431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20.1</x:v>
      </x:c>
      <x:c r="G2" t="n">
        <x:v>16.3</x:v>
      </x:c>
      <x:c r="H2" t="n">
        <x:v>106856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18.4</x:v>
      </x:c>
      <x:c r="G3" t="n">
        <x:v>20.5</x:v>
      </x:c>
      <x:c r="H3" t="n">
        <x:v>139082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15.1</x:v>
      </x:c>
      <x:c r="G4" t="n">
        <x:v>18.1</x:v>
      </x:c>
      <x:c r="H4" t="n">
        <x:v>128263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16</x:v>
      </x:c>
      <x:c r="G5" t="n">
        <x:v>10.5</x:v>
      </x:c>
      <x:c r="H5" t="n">
        <x:v>92715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Cosmetics</x:v>
      </x:c>
      <x:c r="E2" t="n">
        <x:v>943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Cosmetics</x:v>
      </x:c>
      <x:c r="E3" t="n">
        <x:v>790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Cosmetics</x:v>
      </x:c>
      <x:c r="E4" t="n">
        <x:v>993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Cosmetics</x:v>
      </x:c>
      <x:c r="E5" t="n">
        <x:v>894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7.45</x:v>
      </x:c>
      <x:c r="C2" t="n">
        <x:v>99.75</x:v>
      </x:c>
      <x:c r="D2" t="n">
        <x:v>87.25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7.8</x:v>
      </x:c>
      <x:c r="C3" t="n">
        <x:v>99.8</x:v>
      </x:c>
      <x:c r="D3" t="n">
        <x:v>86.68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8.22</x:v>
      </x:c>
      <x:c r="C4" t="n">
        <x:v>100.95</x:v>
      </x:c>
      <x:c r="D4" t="n">
        <x:v>86.31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8.7</x:v>
      </x:c>
      <x:c r="C5" t="n">
        <x:v>100.69</x:v>
      </x:c>
      <x:c r="D5" t="n">
        <x:v>85.41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8.43</x:v>
      </x:c>
      <x:c r="C6" t="n">
        <x:v>101.22</x:v>
      </x:c>
      <x:c r="D6" t="n">
        <x:v>86.04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8.79</x:v>
      </x:c>
      <x:c r="C7" t="n">
        <x:v>102.19</x:v>
      </x:c>
      <x:c r="D7" t="n">
        <x:v>85.71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8.52</x:v>
      </x:c>
      <x:c r="C8" t="n">
        <x:v>102.09</x:v>
      </x:c>
      <x:c r="D8" t="n">
        <x:v>86.15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8.43</x:v>
      </x:c>
      <x:c r="C9" t="n">
        <x:v>101.7</x:v>
      </x:c>
      <x:c r="D9" t="n">
        <x:v>86.17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7.81</x:v>
      </x:c>
      <x:c r="C10" t="n">
        <x:v>101.53</x:v>
      </x:c>
      <x:c r="D10" t="n">
        <x:v>87.18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7.96</x:v>
      </x:c>
      <x:c r="C11" t="n">
        <x:v>102.98</x:v>
      </x:c>
      <x:c r="D11" t="n">
        <x:v>87.36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7.49</x:v>
      </x:c>
      <x:c r="C12" t="n">
        <x:v>102.52</x:v>
      </x:c>
      <x:c r="D12" t="n">
        <x:v>88.03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7.03</x:v>
      </x:c>
      <x:c r="C13" t="n">
        <x:v>104.08</x:v>
      </x:c>
      <x:c r="D13" t="n">
        <x:v>89.28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6.47</x:v>
      </x:c>
      <x:c r="C14" t="n">
        <x:v>102.9</x:v>
      </x:c>
      <x:c r="D14" t="n">
        <x:v>89.87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6.54</x:v>
      </x:c>
      <x:c r="C15" t="n">
        <x:v>104.7</x:v>
      </x:c>
      <x:c r="D15" t="n">
        <x:v>90.28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6.48</x:v>
      </x:c>
      <x:c r="C16" t="n">
        <x:v>104.8</x:v>
      </x:c>
      <x:c r="D16" t="n">
        <x:v>90.42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6.41</x:v>
      </x:c>
      <x:c r="C17" t="n">
        <x:v>104.82</x:v>
      </x:c>
      <x:c r="D17" t="n">
        <x:v>90.55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6.63</x:v>
      </x:c>
      <x:c r="C18" t="n">
        <x:v>105.24</x:v>
      </x:c>
      <x:c r="D18" t="n">
        <x:v>90.3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6.9</x:v>
      </x:c>
      <x:c r="C19" t="n">
        <x:v>106.09</x:v>
      </x:c>
      <x:c r="D19" t="n">
        <x:v>90.1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4</x:v>
      </x:c>
      <x:c r="E2" t="n">
        <x:v>11</x:v>
      </x:c>
      <x:c r="F2" t="n">
        <x:v>8</x:v>
      </x:c>
      <x:c r="G2" t="n">
        <x:v>4</x:v>
      </x:c>
      <x:c r="H2" t="n">
        <x:v>27</x:v>
      </x:c>
      <x:c r="I2" t="str">
        <x:v>Yes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2</x:v>
      </x:c>
      <x:c r="E3" t="n">
        <x:v>8</x:v>
      </x:c>
      <x:c r="F3" t="n">
        <x:v>7</x:v>
      </x:c>
      <x:c r="G3" t="n">
        <x:v>2</x:v>
      </x:c>
      <x:c r="H3" t="n">
        <x:v>19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6</x:v>
      </x:c>
      <x:c r="E4" t="n">
        <x:v>12</x:v>
      </x:c>
      <x:c r="F4" t="n">
        <x:v>7</x:v>
      </x:c>
      <x:c r="G4" t="n">
        <x:v>5</x:v>
      </x:c>
      <x:c r="H4" t="n">
        <x:v>30</x:v>
      </x:c>
      <x:c r="I4" t="str">
        <x:v>Yes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4</x:v>
      </x:c>
      <x:c r="E5" t="n">
        <x:v>7</x:v>
      </x:c>
      <x:c r="F5" t="n">
        <x:v>4</x:v>
      </x:c>
      <x:c r="G5" t="n">
        <x:v>3</x:v>
      </x:c>
      <x:c r="H5" t="n">
        <x:v>18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874</x:v>
      </x:c>
      <x:c r="C2" t="n">
        <x:v>761</x:v>
      </x:c>
      <x:c r="D2" t="n">
        <x:f>C2-B2</x:f>
        <x:v>-113</x:v>
      </x:c>
      <x:c r="E2" t="n">
        <x:f>ABS(D2)</x:f>
        <x:v>113</x:v>
      </x:c>
      <x:c r="F2" s="22" t="n">
        <x:f>IFERROR(E2/C2,0)</x:f>
        <x:v>0.14848883048620237</x:v>
      </x:c>
      <x:c r="G2" t="str">
        <x:v>Formula columns should calculate error and accuracy</x:v>
      </x:c>
    </x:row>
    <x:row r="3">
      <x:c r="A3" t="n">
        <x:v>45505</x:v>
      </x:c>
      <x:c r="B3" t="n">
        <x:v>922</x:v>
      </x:c>
      <x:c r="C3" t="n">
        <x:v>1054</x:v>
      </x:c>
      <x:c r="D3" t="n">
        <x:f>C3-B3</x:f>
        <x:v>132</x:v>
      </x:c>
      <x:c r="E3" t="n">
        <x:f>ABS(D3)</x:f>
        <x:v>132</x:v>
      </x:c>
      <x:c r="F3" s="22" t="n">
        <x:f>IFERROR(E3/C3,0)</x:f>
        <x:v>0.1252371916508539</x:v>
      </x:c>
      <x:c r="G3" t="str">
        <x:v>Formula columns should calculate error and accuracy</x:v>
      </x:c>
    </x:row>
    <x:row r="4">
      <x:c r="A4" t="n">
        <x:v>45536</x:v>
      </x:c>
      <x:c r="B4" t="n">
        <x:v>1040</x:v>
      </x:c>
      <x:c r="C4" t="n">
        <x:v>929</x:v>
      </x:c>
      <x:c r="D4" t="n">
        <x:f>C4-B4</x:f>
        <x:v>-111</x:v>
      </x:c>
      <x:c r="E4" t="n">
        <x:f>ABS(D4)</x:f>
        <x:v>111</x:v>
      </x:c>
      <x:c r="F4" s="22" t="n">
        <x:f>IFERROR(E4/C4,0)</x:f>
        <x:v>0.11948331539289558</x:v>
      </x:c>
      <x:c r="G4" t="str">
        <x:v>Formula columns should calculate error and accuracy</x:v>
      </x:c>
    </x:row>
    <x:row r="5">
      <x:c r="A5" t="n">
        <x:v>45566</x:v>
      </x:c>
      <x:c r="B5" t="n">
        <x:v>1043</x:v>
      </x:c>
      <x:c r="C5" t="n">
        <x:v>995</x:v>
      </x:c>
      <x:c r="D5" t="n">
        <x:f>C5-B5</x:f>
        <x:v>-48</x:v>
      </x:c>
      <x:c r="E5" t="n">
        <x:f>ABS(D5)</x:f>
        <x:v>48</x:v>
      </x:c>
      <x:c r="F5" s="22" t="n">
        <x:f>IFERROR(E5/C5,0)</x:f>
        <x:v>0.04824120603015075</x:v>
      </x:c>
      <x:c r="G5" t="str">
        <x:v>Formula columns should calculate error and accuracy</x:v>
      </x:c>
    </x:row>
    <x:row r="6">
      <x:c r="A6" t="n">
        <x:v>45597</x:v>
      </x:c>
      <x:c r="B6" t="n">
        <x:v>942</x:v>
      </x:c>
      <x:c r="C6" t="n">
        <x:v>906</x:v>
      </x:c>
      <x:c r="D6" t="n">
        <x:f>C6-B6</x:f>
        <x:v>-36</x:v>
      </x:c>
      <x:c r="E6" t="n">
        <x:f>ABS(D6)</x:f>
        <x:v>36</x:v>
      </x:c>
      <x:c r="F6" s="22" t="n">
        <x:f>IFERROR(E6/C6,0)</x:f>
        <x:v>0.039735099337748346</x:v>
      </x:c>
      <x:c r="G6" t="str">
        <x:v>Formula columns should calculate error and accuracy</x:v>
      </x:c>
    </x:row>
    <x:row r="7">
      <x:c r="A7" t="n">
        <x:v>45627</x:v>
      </x:c>
      <x:c r="B7" t="n">
        <x:v>1096</x:v>
      </x:c>
      <x:c r="C7" t="n">
        <x:v>1033</x:v>
      </x:c>
      <x:c r="D7" t="n">
        <x:f>C7-B7</x:f>
        <x:v>-63</x:v>
      </x:c>
      <x:c r="E7" t="n">
        <x:f>ABS(D7)</x:f>
        <x:v>63</x:v>
      </x:c>
      <x:c r="F7" s="22" t="n">
        <x:f>IFERROR(E7/C7,0)</x:f>
        <x:v>0.06098741529525654</x:v>
      </x:c>
      <x:c r="G7" t="str">
        <x:v>Formula columns should calculate error and accuracy</x:v>
      </x:c>
    </x:row>
    <x:row r="8">
      <x:c r="A8" t="n">
        <x:v>45658</x:v>
      </x:c>
      <x:c r="B8" t="n">
        <x:v>1125</x:v>
      </x:c>
      <x:c r="C8" t="n">
        <x:v>1072</x:v>
      </x:c>
      <x:c r="D8" t="n">
        <x:f>C8-B8</x:f>
        <x:v>-53</x:v>
      </x:c>
      <x:c r="E8" t="n">
        <x:f>ABS(D8)</x:f>
        <x:v>53</x:v>
      </x:c>
      <x:c r="F8" s="22" t="n">
        <x:f>IFERROR(E8/C8,0)</x:f>
        <x:v>0.049440298507462684</x:v>
      </x:c>
      <x:c r="G8" t="str">
        <x:v>Formula columns should calculate error and accuracy</x:v>
      </x:c>
    </x:row>
    <x:row r="9">
      <x:c r="A9" t="n">
        <x:v>45689</x:v>
      </x:c>
      <x:c r="B9" t="n">
        <x:v>1031</x:v>
      </x:c>
      <x:c r="C9" t="n">
        <x:v>967</x:v>
      </x:c>
      <x:c r="D9" t="n">
        <x:f>C9-B9</x:f>
        <x:v>-64</x:v>
      </x:c>
      <x:c r="E9" t="n">
        <x:f>ABS(D9)</x:f>
        <x:v>64</x:v>
      </x:c>
      <x:c r="F9" s="22" t="n">
        <x:f>IFERROR(E9/C9,0)</x:f>
        <x:v>0.06618407445708377</x:v>
      </x:c>
      <x:c r="G9" t="str">
        <x:v>Formula columns should calculate error and accuracy</x:v>
      </x:c>
    </x:row>
    <x:row r="10">
      <x:c r="A10" t="n">
        <x:v>45717</x:v>
      </x:c>
      <x:c r="B10" t="n">
        <x:v>1179</x:v>
      </x:c>
      <x:c r="C10" t="n">
        <x:v>1189</x:v>
      </x:c>
      <x:c r="D10" t="n">
        <x:f>C10-B10</x:f>
        <x:v>10</x:v>
      </x:c>
      <x:c r="E10" t="n">
        <x:f>ABS(D10)</x:f>
        <x:v>10</x:v>
      </x:c>
      <x:c r="F10" s="22" t="n">
        <x:f>IFERROR(E10/C10,0)</x:f>
        <x:v>0.008410428931875526</x:v>
      </x:c>
      <x:c r="G10" t="str">
        <x:v>Formula columns should calculate error and accuracy</x:v>
      </x:c>
    </x:row>
    <x:row r="11">
      <x:c r="A11" t="n">
        <x:v>45748</x:v>
      </x:c>
      <x:c r="B11" t="n">
        <x:v>1203</x:v>
      </x:c>
      <x:c r="C11" t="n">
        <x:v>1267</x:v>
      </x:c>
      <x:c r="D11" t="n">
        <x:f>C11-B11</x:f>
        <x:v>64</x:v>
      </x:c>
      <x:c r="E11" t="n">
        <x:f>ABS(D11)</x:f>
        <x:v>64</x:v>
      </x:c>
      <x:c r="F11" s="22" t="n">
        <x:f>IFERROR(E11/C11,0)</x:f>
        <x:v>0.050513022888713496</x:v>
      </x:c>
      <x:c r="G11" t="str">
        <x:v>Formula columns should calculate error and accuracy</x:v>
      </x:c>
    </x:row>
    <x:row r="12">
      <x:c r="A12" t="n">
        <x:v>45778</x:v>
      </x:c>
      <x:c r="B12" t="n">
        <x:v>1241</x:v>
      </x:c>
      <x:c r="C12" t="n">
        <x:v>1053</x:v>
      </x:c>
      <x:c r="D12" t="n">
        <x:f>C12-B12</x:f>
        <x:v>-188</x:v>
      </x:c>
      <x:c r="E12" t="n">
        <x:f>ABS(D12)</x:f>
        <x:v>188</x:v>
      </x:c>
      <x:c r="F12" s="22" t="n">
        <x:f>IFERROR(E12/C12,0)</x:f>
        <x:v>0.1785375118708452</x:v>
      </x:c>
      <x:c r="G12" t="str">
        <x:v>Formula columns should calculate error and accuracy</x:v>
      </x:c>
    </x:row>
    <x:row r="13">
      <x:c r="A13" t="n">
        <x:v>45809</x:v>
      </x:c>
      <x:c r="B13" t="n">
        <x:v>1249</x:v>
      </x:c>
      <x:c r="C13" t="n">
        <x:v>1274</x:v>
      </x:c>
      <x:c r="D13" t="n">
        <x:f>C13-B13</x:f>
        <x:v>25</x:v>
      </x:c>
      <x:c r="E13" t="n">
        <x:f>ABS(D13)</x:f>
        <x:v>25</x:v>
      </x:c>
      <x:c r="F13" s="22" t="n">
        <x:f>IFERROR(E13/C13,0)</x:f>
        <x:v>0.019623233908948195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96</x:v>
      </x:c>
      <x:c r="E2" t="n">
        <x:v>858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64</x:v>
      </x:c>
      <x:c r="E3" t="n">
        <x:v>582</x:v>
      </x:c>
      <x:c r="F3" t="str">
        <x:v>Medium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54</x:v>
      </x:c>
      <x:c r="E4" t="n">
        <x:v>420</x:v>
      </x:c>
      <x:c r="F4" t="str">
        <x:v>Low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57</x:v>
      </x:c>
      <x:c r="E5" t="n">
        <x:v>499</x:v>
      </x:c>
      <x:c r="F5" t="str">
        <x:v>Low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81</x:v>
      </x:c>
      <x:c r="E6" t="n">
        <x:v>921</x:v>
      </x:c>
      <x:c r="F6" t="str">
        <x:v>High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74</x:v>
      </x:c>
      <x:c r="E7" t="n">
        <x:v>578</x:v>
      </x:c>
      <x:c r="F7" t="str">
        <x:v>Medium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90</x:v>
      </x:c>
      <x:c r="E8" t="n">
        <x:v>718</x:v>
      </x:c>
      <x:c r="F8" t="str">
        <x:v>High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50</x:v>
      </x:c>
      <x:c r="E9" t="n">
        <x:v>472</x:v>
      </x:c>
      <x:c r="F9" t="str">
        <x:v>Low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Bi-weekly</x:v>
      </x:c>
      <x:c r="E2" t="n">
        <x:v>6</x:v>
      </x:c>
      <x:c r="F2" t="n">
        <x:v>6022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Weekly</x:v>
      </x:c>
      <x:c r="E3" t="n">
        <x:v>8</x:v>
      </x:c>
      <x:c r="F3" t="n">
        <x:v>6556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Bi-weekly</x:v>
      </x:c>
      <x:c r="E4" t="n">
        <x:v>3</x:v>
      </x:c>
      <x:c r="F4" t="n">
        <x:v>2789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Weekly</x:v>
      </x:c>
      <x:c r="E5" t="n">
        <x:v>3</x:v>
      </x:c>
      <x:c r="F5" t="n">
        <x:v>2980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Festival-based</x:v>
      </x:c>
      <x:c r="E6" t="n">
        <x:v>7</x:v>
      </x:c>
      <x:c r="F6" t="n">
        <x:v>6292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172</x:v>
      </x:c>
      <x:c r="F2" t="n">
        <x:v>87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21</x:v>
      </x:c>
      <x:c r="F3" t="n">
        <x:v>71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78</x:v>
      </x:c>
      <x:c r="F4" t="n">
        <x:v>76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16</x:v>
      </x:c>
      <x:c r="F5" t="n">
        <x:v>90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Foundation Makeup Maybelline Cosmetics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Foundation Makeup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Cosmetics competitor pricing promotions Bangladesh Maybelline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Foundation Makeup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60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88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70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84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Some numeric fields contain currency symbols or commas as text.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