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f5369560d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c7f136d8aad1462d"/>
    <x:sheet xmlns:r="http://schemas.openxmlformats.org/officeDocument/2006/relationships" name="Historical_Sales" sheetId="2" r:id="R808ef33cd24948a5"/>
    <x:sheet xmlns:r="http://schemas.openxmlformats.org/officeDocument/2006/relationships" name="Inventory" sheetId="3" r:id="R283a33f2e0ef4d91"/>
    <x:sheet xmlns:r="http://schemas.openxmlformats.org/officeDocument/2006/relationships" name="Promotions" sheetId="4" r:id="R42a334e4b4d741c8"/>
    <x:sheet xmlns:r="http://schemas.openxmlformats.org/officeDocument/2006/relationships" name="Competitors" sheetId="5" r:id="R7d4abee5a3524736"/>
    <x:sheet xmlns:r="http://schemas.openxmlformats.org/officeDocument/2006/relationships" name="Economic" sheetId="6" r:id="Re59b8737fee54bce"/>
    <x:sheet xmlns:r="http://schemas.openxmlformats.org/officeDocument/2006/relationships" name="Lead_Time" sheetId="7" r:id="Re6a35505882b422b"/>
    <x:sheet xmlns:r="http://schemas.openxmlformats.org/officeDocument/2006/relationships" name="Forecast_Actual" sheetId="8" r:id="R6f39f83adad54442"/>
    <x:sheet xmlns:r="http://schemas.openxmlformats.org/officeDocument/2006/relationships" name="Regional_Demand_Map" sheetId="9" r:id="R9aa9d2890cc74b1b"/>
    <x:sheet xmlns:r="http://schemas.openxmlformats.org/officeDocument/2006/relationships" name="SCM_Flow_Map" sheetId="10" r:id="Re001ca6b98fd46f5"/>
    <x:sheet xmlns:r="http://schemas.openxmlformats.org/officeDocument/2006/relationships" name="Customer_Patterns" sheetId="11" r:id="Raa5279bdb27645cc"/>
    <x:sheet xmlns:r="http://schemas.openxmlformats.org/officeDocument/2006/relationships" name="Technology_Data" sheetId="12" r:id="R5892845706de4c59"/>
    <x:sheet xmlns:r="http://schemas.openxmlformats.org/officeDocument/2006/relationships" name="Web_Search_Seeds" sheetId="13" r:id="Rcaeaa078a19a4ddf"/>
    <x:sheet xmlns:r="http://schemas.openxmlformats.org/officeDocument/2006/relationships" name="Manual_Expert_Opinion" sheetId="14" r:id="Rd8c06db8c8324e6b"/>
    <x:sheet xmlns:r="http://schemas.openxmlformats.org/officeDocument/2006/relationships" name="Data_Issues" sheetId="15" r:id="R56c5e02d1e80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f9fd0783d4a6e" /><Relationship Type="http://schemas.openxmlformats.org/officeDocument/2006/relationships/theme" Target="/xl/theme/theme1.xml" Id="R8c06f4f17ac94c3b" /><Relationship Type="http://schemas.openxmlformats.org/officeDocument/2006/relationships/sharedStrings" Target="/xl/sharedStrings.xml" Id="R125e0052ce144934" /><Relationship Type="http://schemas.openxmlformats.org/officeDocument/2006/relationships/worksheet" Target="/xl/worksheets/sheet1.xml" Id="Rc7f136d8aad1462d" /><Relationship Type="http://schemas.openxmlformats.org/officeDocument/2006/relationships/worksheet" Target="/xl/worksheets/sheet2.xml" Id="R808ef33cd24948a5" /><Relationship Type="http://schemas.openxmlformats.org/officeDocument/2006/relationships/worksheet" Target="/xl/worksheets/sheet3.xml" Id="R283a33f2e0ef4d91" /><Relationship Type="http://schemas.openxmlformats.org/officeDocument/2006/relationships/worksheet" Target="/xl/worksheets/sheet4.xml" Id="R42a334e4b4d741c8" /><Relationship Type="http://schemas.openxmlformats.org/officeDocument/2006/relationships/worksheet" Target="/xl/worksheets/sheet5.xml" Id="R7d4abee5a3524736" /><Relationship Type="http://schemas.openxmlformats.org/officeDocument/2006/relationships/worksheet" Target="/xl/worksheets/sheet6.xml" Id="Re59b8737fee54bce" /><Relationship Type="http://schemas.openxmlformats.org/officeDocument/2006/relationships/worksheet" Target="/xl/worksheets/sheet7.xml" Id="Re6a35505882b422b" /><Relationship Type="http://schemas.openxmlformats.org/officeDocument/2006/relationships/worksheet" Target="/xl/worksheets/sheet8.xml" Id="R6f39f83adad54442" /><Relationship Type="http://schemas.openxmlformats.org/officeDocument/2006/relationships/worksheet" Target="/xl/worksheets/sheet9.xml" Id="R9aa9d2890cc74b1b" /><Relationship Type="http://schemas.openxmlformats.org/officeDocument/2006/relationships/worksheet" Target="/xl/worksheets/sheet10.xml" Id="Re001ca6b98fd46f5" /><Relationship Type="http://schemas.openxmlformats.org/officeDocument/2006/relationships/worksheet" Target="/xl/worksheets/sheet11.xml" Id="Raa5279bdb27645cc" /><Relationship Type="http://schemas.openxmlformats.org/officeDocument/2006/relationships/worksheet" Target="/xl/worksheets/sheet12.xml" Id="R5892845706de4c59" /><Relationship Type="http://schemas.openxmlformats.org/officeDocument/2006/relationships/worksheet" Target="/xl/worksheets/sheet13.xml" Id="Rcaeaa078a19a4ddf" /><Relationship Type="http://schemas.openxmlformats.org/officeDocument/2006/relationships/worksheet" Target="/xl/worksheets/sheet14.xml" Id="Rd8c06db8c8324e6b" /><Relationship Type="http://schemas.openxmlformats.org/officeDocument/2006/relationships/worksheet" Target="/xl/worksheets/sheet15.xml" Id="R56c5e02d1e804c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DPF-02</x:v>
      </x:c>
    </x:row>
    <x:row r="3">
      <x:c r="A3" t="str">
        <x:v>Scenario Title</x:v>
      </x:c>
      <x:c r="B3" t="str">
        <x:v>Ramadan and Eid Seasonal Surge</x:v>
      </x:c>
    </x:row>
    <x:row r="4">
      <x:c r="A4" t="str">
        <x:v>Purpose</x:v>
      </x:c>
      <x:c r="B4" t="str">
        <x:v>Test festival/seasonal uplift detection.</x:v>
      </x:c>
    </x:row>
    <x:row r="5">
      <x:c r="A5" t="str">
        <x:v>Product Name</x:v>
      </x:c>
      <x:c r="B5" t="str">
        <x:v>Dove Shampoo</x:v>
      </x:c>
    </x:row>
    <x:row r="6">
      <x:c r="A6" t="str">
        <x:v>Category</x:v>
      </x:c>
      <x:c r="B6" t="str">
        <x:v>Personal Care</x:v>
      </x:c>
    </x:row>
    <x:row r="7">
      <x:c r="A7" t="str">
        <x:v>Brand</x:v>
      </x:c>
      <x:c r="B7" t="str">
        <x:v>Dove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Historical Sales, Seasonality, Promotions, Inventory</x:v>
      </x:c>
    </x:row>
    <x:row r="11">
      <x:c r="A11" t="str">
        <x:v>Recommended Inputs To Tick</x:v>
      </x:c>
      <x:c r="B11" t="str">
        <x:v>Historical Sales Data, Seasonality, Promotions &amp; Discounts, Online Web Search Data</x:v>
      </x:c>
    </x:row>
    <x:row r="12">
      <x:c r="A12" t="str">
        <x:v>Recommended Outputs To Tick</x:v>
      </x:c>
      <x:c r="B12" t="str">
        <x:v>Seasonal Demand Impact, Festival Demand Impact, Demand Forecast, PDF Report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Dove Shampoo</x:v>
      </x:c>
      <x:c r="C2" t="str">
        <x:v>Personal Care</x:v>
      </x:c>
      <x:c r="D2" t="str">
        <x:v>Dove</x:v>
      </x:c>
      <x:c r="E2" t="str">
        <x:v>Dhaka</x:v>
      </x:c>
      <x:c r="F2" t="str">
        <x:v>Retail</x:v>
      </x:c>
      <x:c r="G2" t="n">
        <x:v>1666</x:v>
      </x:c>
      <x:c r="H2" t="n">
        <x:v>420</x:v>
      </x:c>
      <x:c r="I2" t="n">
        <x:v>699720</x:v>
      </x:c>
      <x:c r="J2" t="str"/>
    </x:row>
    <x:row r="3">
      <x:c r="A3" t="n">
        <x:v>45323</x:v>
      </x:c>
      <x:c r="B3" t="str">
        <x:v>Dove Shampoo</x:v>
      </x:c>
      <x:c r="C3" t="str">
        <x:v>Personal Care</x:v>
      </x:c>
      <x:c r="D3" t="str">
        <x:v>Dove</x:v>
      </x:c>
      <x:c r="E3" t="str">
        <x:v>Chattogram</x:v>
      </x:c>
      <x:c r="F3" t="str">
        <x:v>Online</x:v>
      </x:c>
      <x:c r="G3" t="n">
        <x:v>1650</x:v>
      </x:c>
      <x:c r="H3" t="n">
        <x:v>420</x:v>
      </x:c>
      <x:c r="I3" t="n">
        <x:v>693000</x:v>
      </x:c>
      <x:c r="J3" t="str"/>
    </x:row>
    <x:row r="4">
      <x:c r="A4" t="n">
        <x:v>45352</x:v>
      </x:c>
      <x:c r="B4" t="str">
        <x:v>Dove Shampoo</x:v>
      </x:c>
      <x:c r="C4" t="str">
        <x:v>Personal Care</x:v>
      </x:c>
      <x:c r="D4" t="str">
        <x:v>Dove</x:v>
      </x:c>
      <x:c r="E4" t="str">
        <x:v>Sylhet</x:v>
      </x:c>
      <x:c r="F4" t="str">
        <x:v>Wholesale</x:v>
      </x:c>
      <x:c r="G4" t="n">
        <x:v>2644</x:v>
      </x:c>
      <x:c r="H4" t="n">
        <x:v>420</x:v>
      </x:c>
      <x:c r="I4" t="n">
        <x:v>1110480</x:v>
      </x:c>
      <x:c r="J4" t="str">
        <x:v>Ramadan/Eid demand surge</x:v>
      </x:c>
    </x:row>
    <x:row r="5">
      <x:c r="A5" t="n">
        <x:v>45383</x:v>
      </x:c>
      <x:c r="B5" t="str">
        <x:v>Dove Shampoo</x:v>
      </x:c>
      <x:c r="C5" t="str">
        <x:v>Personal Care</x:v>
      </x:c>
      <x:c r="D5" t="str">
        <x:v>Dove</x:v>
      </x:c>
      <x:c r="E5" t="str">
        <x:v>Rajshahi</x:v>
      </x:c>
      <x:c r="F5" t="str">
        <x:v>Modern Trade</x:v>
      </x:c>
      <x:c r="G5" t="n">
        <x:v>2677</x:v>
      </x:c>
      <x:c r="H5" t="n">
        <x:v>420</x:v>
      </x:c>
      <x:c r="I5" t="n">
        <x:v>1124340</x:v>
      </x:c>
      <x:c r="J5" t="str">
        <x:v>Ramadan/Eid demand surge</x:v>
      </x:c>
    </x:row>
    <x:row r="6">
      <x:c r="A6" t="n">
        <x:v>45413</x:v>
      </x:c>
      <x:c r="B6" t="str">
        <x:v>Dove Shampoo</x:v>
      </x:c>
      <x:c r="C6" t="str">
        <x:v>Personal Care</x:v>
      </x:c>
      <x:c r="D6" t="str">
        <x:v>Dove</x:v>
      </x:c>
      <x:c r="E6" t="str">
        <x:v>Khulna</x:v>
      </x:c>
      <x:c r="F6" t="str">
        <x:v>Retail</x:v>
      </x:c>
      <x:c r="G6" t="n">
        <x:v>1893</x:v>
      </x:c>
      <x:c r="H6" t="n">
        <x:v>420</x:v>
      </x:c>
      <x:c r="I6" t="n">
        <x:v>795060</x:v>
      </x:c>
      <x:c r="J6" t="str"/>
    </x:row>
    <x:row r="7">
      <x:c r="A7" t="n">
        <x:v>45444</x:v>
      </x:c>
      <x:c r="B7" t="str">
        <x:v>Dove Shampoo</x:v>
      </x:c>
      <x:c r="C7" t="str">
        <x:v>Personal Care</x:v>
      </x:c>
      <x:c r="D7" t="str">
        <x:v>Dove</x:v>
      </x:c>
      <x:c r="E7" t="str">
        <x:v>Barishal</x:v>
      </x:c>
      <x:c r="F7" t="str">
        <x:v>Online</x:v>
      </x:c>
      <x:c r="G7" t="n">
        <x:v>2041</x:v>
      </x:c>
      <x:c r="H7" t="n">
        <x:v>420</x:v>
      </x:c>
      <x:c r="I7" t="n">
        <x:v>857220</x:v>
      </x:c>
      <x:c r="J7" t="str"/>
    </x:row>
    <x:row r="8">
      <x:c r="A8" t="n">
        <x:v>45474</x:v>
      </x:c>
      <x:c r="B8" t="str">
        <x:v>Dove Shampoo</x:v>
      </x:c>
      <x:c r="C8" t="str">
        <x:v>Personal Care</x:v>
      </x:c>
      <x:c r="D8" t="str">
        <x:v>Dove</x:v>
      </x:c>
      <x:c r="E8" t="str">
        <x:v>Rangpur</x:v>
      </x:c>
      <x:c r="F8" t="str">
        <x:v>Wholesale</x:v>
      </x:c>
      <x:c r="G8" t="n">
        <x:v>2044</x:v>
      </x:c>
      <x:c r="H8" t="n">
        <x:v>420</x:v>
      </x:c>
      <x:c r="I8" t="n">
        <x:v>858480</x:v>
      </x:c>
      <x:c r="J8" t="str"/>
    </x:row>
    <x:row r="9">
      <x:c r="A9" t="n">
        <x:v>45505</x:v>
      </x:c>
      <x:c r="B9" t="str">
        <x:v>Dove Shampoo</x:v>
      </x:c>
      <x:c r="C9" t="str">
        <x:v>Personal Care</x:v>
      </x:c>
      <x:c r="D9" t="str">
        <x:v>Dove</x:v>
      </x:c>
      <x:c r="E9" t="str">
        <x:v>Mymensingh</x:v>
      </x:c>
      <x:c r="F9" t="str">
        <x:v>Modern Trade</x:v>
      </x:c>
      <x:c r="G9" t="n">
        <x:v>2220</x:v>
      </x:c>
      <x:c r="H9" t="n">
        <x:v>420</x:v>
      </x:c>
      <x:c r="I9" t="n">
        <x:v>932400</x:v>
      </x:c>
      <x:c r="J9" t="str"/>
    </x:row>
    <x:row r="10">
      <x:c r="A10" t="n">
        <x:v>45536</x:v>
      </x:c>
      <x:c r="B10" t="str">
        <x:v>Dove Shampoo</x:v>
      </x:c>
      <x:c r="C10" t="str">
        <x:v>Personal Care</x:v>
      </x:c>
      <x:c r="D10" t="str">
        <x:v>Dove</x:v>
      </x:c>
      <x:c r="E10" t="str">
        <x:v>Dhaka</x:v>
      </x:c>
      <x:c r="F10" t="str">
        <x:v>Retail</x:v>
      </x:c>
      <x:c r="G10" t="n">
        <x:v>1822</x:v>
      </x:c>
      <x:c r="H10" t="n">
        <x:v>420</x:v>
      </x:c>
      <x:c r="I10" t="n">
        <x:v>765240</x:v>
      </x:c>
      <x:c r="J10" t="str"/>
    </x:row>
    <x:row r="11">
      <x:c r="A11" t="n">
        <x:v>45566</x:v>
      </x:c>
      <x:c r="B11" t="str">
        <x:v>Dove Shampoo</x:v>
      </x:c>
      <x:c r="C11" t="str">
        <x:v>Personal Care</x:v>
      </x:c>
      <x:c r="D11" t="str">
        <x:v>Dove</x:v>
      </x:c>
      <x:c r="E11" t="str">
        <x:v>Chattogram</x:v>
      </x:c>
      <x:c r="F11" t="str">
        <x:v>Online</x:v>
      </x:c>
      <x:c r="G11" t="n">
        <x:v>1995</x:v>
      </x:c>
      <x:c r="H11" t="n">
        <x:v>420</x:v>
      </x:c>
      <x:c r="I11" t="n">
        <x:v>837900</x:v>
      </x:c>
      <x:c r="J11" t="str"/>
    </x:row>
    <x:row r="12">
      <x:c r="A12" t="n">
        <x:v>45597</x:v>
      </x:c>
      <x:c r="B12" t="str">
        <x:v>Dove Shampoo</x:v>
      </x:c>
      <x:c r="C12" t="str">
        <x:v>Personal Care</x:v>
      </x:c>
      <x:c r="D12" t="str">
        <x:v>Dove</x:v>
      </x:c>
      <x:c r="E12" t="str">
        <x:v>Sylhet</x:v>
      </x:c>
      <x:c r="F12" t="str">
        <x:v>Wholesale</x:v>
      </x:c>
      <x:c r="G12" t="n">
        <x:v>1990</x:v>
      </x:c>
      <x:c r="H12" t="n">
        <x:v>420</x:v>
      </x:c>
      <x:c r="I12" t="n">
        <x:v>835800</x:v>
      </x:c>
      <x:c r="J12" t="str"/>
    </x:row>
    <x:row r="13">
      <x:c r="A13" t="n">
        <x:v>45627</x:v>
      </x:c>
      <x:c r="B13" t="str">
        <x:v>Dove Shampoo</x:v>
      </x:c>
      <x:c r="C13" t="str">
        <x:v>Personal Care</x:v>
      </x:c>
      <x:c r="D13" t="str">
        <x:v>Dove</x:v>
      </x:c>
      <x:c r="E13" t="str">
        <x:v>Rajshahi</x:v>
      </x:c>
      <x:c r="F13" t="str">
        <x:v>Modern Trade</x:v>
      </x:c>
      <x:c r="G13" t="n">
        <x:v>2279</x:v>
      </x:c>
      <x:c r="H13" t="n">
        <x:v>420</x:v>
      </x:c>
      <x:c r="I13" t="n">
        <x:v>957180</x:v>
      </x:c>
      <x:c r="J13" t="str"/>
    </x:row>
    <x:row r="14">
      <x:c r="A14" t="n">
        <x:v>45658</x:v>
      </x:c>
      <x:c r="B14" t="str">
        <x:v>Dove Shampoo</x:v>
      </x:c>
      <x:c r="C14" t="str">
        <x:v>Personal Care</x:v>
      </x:c>
      <x:c r="D14" t="str">
        <x:v>Dove</x:v>
      </x:c>
      <x:c r="E14" t="str">
        <x:v>Khulna</x:v>
      </x:c>
      <x:c r="F14" t="str">
        <x:v>Retail</x:v>
      </x:c>
      <x:c r="G14" t="n">
        <x:v>1996</x:v>
      </x:c>
      <x:c r="H14" t="n">
        <x:v>420</x:v>
      </x:c>
      <x:c r="I14" t="n">
        <x:v>838320</x:v>
      </x:c>
      <x:c r="J14" t="str"/>
    </x:row>
    <x:row r="15">
      <x:c r="A15" t="n">
        <x:v>45689</x:v>
      </x:c>
      <x:c r="B15" t="str">
        <x:v>Dove Shampoo</x:v>
      </x:c>
      <x:c r="C15" t="str">
        <x:v>Personal Care</x:v>
      </x:c>
      <x:c r="D15" t="str">
        <x:v>Dove</x:v>
      </x:c>
      <x:c r="E15" t="str">
        <x:v>Barishal</x:v>
      </x:c>
      <x:c r="F15" t="str">
        <x:v>Online</x:v>
      </x:c>
      <x:c r="G15" t="n">
        <x:v>1991</x:v>
      </x:c>
      <x:c r="H15" t="n">
        <x:v>420</x:v>
      </x:c>
      <x:c r="I15" t="n">
        <x:v>836220</x:v>
      </x:c>
      <x:c r="J15" t="str"/>
    </x:row>
    <x:row r="16">
      <x:c r="A16" t="n">
        <x:v>45717</x:v>
      </x:c>
      <x:c r="B16" t="str">
        <x:v>Dove Shampoo</x:v>
      </x:c>
      <x:c r="C16" t="str">
        <x:v>Personal Care</x:v>
      </x:c>
      <x:c r="D16" t="str">
        <x:v>Dove</x:v>
      </x:c>
      <x:c r="E16" t="str">
        <x:v>Rangpur</x:v>
      </x:c>
      <x:c r="F16" t="str">
        <x:v>Wholesale</x:v>
      </x:c>
      <x:c r="G16" t="n">
        <x:v>3119</x:v>
      </x:c>
      <x:c r="H16" t="n">
        <x:v>420</x:v>
      </x:c>
      <x:c r="I16" t="n">
        <x:v>1309980</x:v>
      </x:c>
      <x:c r="J16" t="str">
        <x:v>Ramadan/Eid demand surge</x:v>
      </x:c>
    </x:row>
    <x:row r="17">
      <x:c r="A17" t="n">
        <x:v>45748</x:v>
      </x:c>
      <x:c r="B17" t="str">
        <x:v>Dove Shampoo</x:v>
      </x:c>
      <x:c r="C17" t="str">
        <x:v>Personal Care</x:v>
      </x:c>
      <x:c r="D17" t="str">
        <x:v>Dove</x:v>
      </x:c>
      <x:c r="E17" t="str">
        <x:v>Mymensingh</x:v>
      </x:c>
      <x:c r="F17" t="str">
        <x:v>Modern Trade</x:v>
      </x:c>
      <x:c r="G17" t="n">
        <x:v>3137</x:v>
      </x:c>
      <x:c r="H17" t="n">
        <x:v>420</x:v>
      </x:c>
      <x:c r="I17" t="n">
        <x:v>1317540</x:v>
      </x:c>
      <x:c r="J17" t="str">
        <x:v>Ramadan/Eid demand surge</x:v>
      </x:c>
    </x:row>
    <x:row r="18">
      <x:c r="A18" t="n">
        <x:v>45778</x:v>
      </x:c>
      <x:c r="B18" t="str">
        <x:v>Dove Shampoo</x:v>
      </x:c>
      <x:c r="C18" t="str">
        <x:v>Personal Care</x:v>
      </x:c>
      <x:c r="D18" t="str">
        <x:v>Dove</x:v>
      </x:c>
      <x:c r="E18" t="str">
        <x:v>Dhaka</x:v>
      </x:c>
      <x:c r="F18" t="str">
        <x:v>Retail</x:v>
      </x:c>
      <x:c r="G18" t="n">
        <x:v>2113</x:v>
      </x:c>
      <x:c r="H18" t="n">
        <x:v>420</x:v>
      </x:c>
      <x:c r="I18" t="n">
        <x:v>887460</x:v>
      </x:c>
      <x:c r="J18" t="str"/>
    </x:row>
    <x:row r="19">
      <x:c r="A19" t="n">
        <x:v>45809</x:v>
      </x:c>
      <x:c r="B19" t="str">
        <x:v>Dove Shampoo</x:v>
      </x:c>
      <x:c r="C19" t="str">
        <x:v>Personal Care</x:v>
      </x:c>
      <x:c r="D19" t="str">
        <x:v>Dove</x:v>
      </x:c>
      <x:c r="E19" t="str">
        <x:v>Chattogram</x:v>
      </x:c>
      <x:c r="F19" t="str">
        <x:v>Online</x:v>
      </x:c>
      <x:c r="G19" t="n">
        <x:v>2123</x:v>
      </x:c>
      <x:c r="H19" t="n">
        <x:v>420</x:v>
      </x:c>
      <x:c r="I19" t="n">
        <x:v>891660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DOV-DPF-02-01</x:v>
      </x:c>
      <x:c r="B2" t="str">
        <x:v>Dove Shampoo</x:v>
      </x:c>
      <x:c r="C2" t="str">
        <x:v>Personal Care</x:v>
      </x:c>
      <x:c r="D2" t="str">
        <x:v>Dove</x:v>
      </x:c>
      <x:c r="E2" t="str">
        <x:v>Dhaka</x:v>
      </x:c>
      <x:c r="F2" t="str">
        <x:v>Dhaka DC</x:v>
      </x:c>
      <x:c r="G2" t="n">
        <x:v>3529</x:v>
      </x:c>
      <x:c r="H2" t="n">
        <x:v>562</x:v>
      </x:c>
      <x:c r="I2" t="n">
        <x:v>1398</x:v>
      </x:c>
      <x:c r="J2" t="n">
        <x:v>378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DOV-DPF-02-02</x:v>
      </x:c>
      <x:c r="B3" t="str">
        <x:v>Dove Shampoo</x:v>
      </x:c>
      <x:c r="C3" t="str">
        <x:v>Personal Care</x:v>
      </x:c>
      <x:c r="D3" t="str">
        <x:v>Dove</x:v>
      </x:c>
      <x:c r="E3" t="str">
        <x:v>Chattogram</x:v>
      </x:c>
      <x:c r="F3" t="str">
        <x:v>Chattogram DC</x:v>
      </x:c>
      <x:c r="G3" t="n">
        <x:v>1020</x:v>
      </x:c>
      <x:c r="H3" t="n">
        <x:v>715</x:v>
      </x:c>
      <x:c r="I3" t="n">
        <x:v>1543</x:v>
      </x:c>
      <x:c r="J3" t="n">
        <x:v>608</x:v>
      </x:c>
      <x:c r="K3" t="n">
        <x:v>120</x:v>
      </x:c>
      <x:c r="L3" t="n">
        <x:v>45673</x:v>
      </x:c>
      <x:c r="M3" t="str">
        <x:v>Reorder Needed</x:v>
      </x:c>
    </x:row>
    <x:row r="4">
      <x:c r="A4" t="str">
        <x:v>DOV-DPF-02-03</x:v>
      </x:c>
      <x:c r="B4" t="str">
        <x:v>Dove Shampoo</x:v>
      </x:c>
      <x:c r="C4" t="str">
        <x:v>Personal Care</x:v>
      </x:c>
      <x:c r="D4" t="str">
        <x:v>Dove</x:v>
      </x:c>
      <x:c r="E4" t="str">
        <x:v>Sylhet</x:v>
      </x:c>
      <x:c r="F4" t="str">
        <x:v>Sylhet DC</x:v>
      </x:c>
      <x:c r="G4" t="n">
        <x:v>3538</x:v>
      </x:c>
      <x:c r="H4" t="n">
        <x:v>673</x:v>
      </x:c>
      <x:c r="I4" t="n">
        <x:v>1286</x:v>
      </x:c>
      <x:c r="J4" t="n">
        <x:v>342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DOV-DPF-02-04</x:v>
      </x:c>
      <x:c r="B5" t="str">
        <x:v>Dove Shampoo</x:v>
      </x:c>
      <x:c r="C5" t="str">
        <x:v>Personal Care</x:v>
      </x:c>
      <x:c r="D5" t="str">
        <x:v>Dove</x:v>
      </x:c>
      <x:c r="E5" t="str">
        <x:v>Rajshahi</x:v>
      </x:c>
      <x:c r="F5" t="str">
        <x:v>Rajshahi DC</x:v>
      </x:c>
      <x:c r="G5" t="n">
        <x:v>1490</x:v>
      </x:c>
      <x:c r="H5" t="n">
        <x:v>550</x:v>
      </x:c>
      <x:c r="I5" t="n">
        <x:v>1129</x:v>
      </x:c>
      <x:c r="J5" t="n">
        <x:v>283</x:v>
      </x:c>
      <x:c r="K5" t="n">
        <x:v>120</x:v>
      </x:c>
      <x:c r="L5" t="n">
        <x:v>45675</x:v>
      </x:c>
      <x:c r="M5" t="str">
        <x:v>OK</x:v>
      </x:c>
    </x:row>
    <x:row r="6">
      <x:c r="A6" t="str">
        <x:v>DOV-DPF-02-05</x:v>
      </x:c>
      <x:c r="B6" t="str">
        <x:v>Dove Shampoo</x:v>
      </x:c>
      <x:c r="C6" t="str">
        <x:v>Personal Care</x:v>
      </x:c>
      <x:c r="D6" t="str">
        <x:v>Dove</x:v>
      </x:c>
      <x:c r="E6" t="str">
        <x:v>Khulna</x:v>
      </x:c>
      <x:c r="F6" t="str">
        <x:v>Khulna DC</x:v>
      </x:c>
      <x:c r="G6" t="n">
        <x:v>3708</x:v>
      </x:c>
      <x:c r="H6" t="n">
        <x:v>513</x:v>
      </x:c>
      <x:c r="I6" t="n">
        <x:v>1324</x:v>
      </x:c>
      <x:c r="J6" t="n">
        <x:v>325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DOV-DPF-02-06</x:v>
      </x:c>
      <x:c r="B7" t="str">
        <x:v>Dove Shampoo</x:v>
      </x:c>
      <x:c r="C7" t="str">
        <x:v>Personal Care</x:v>
      </x:c>
      <x:c r="D7" t="str">
        <x:v>Dove</x:v>
      </x:c>
      <x:c r="E7" t="str">
        <x:v>Barishal</x:v>
      </x:c>
      <x:c r="F7" t="str">
        <x:v>Barishal DC</x:v>
      </x:c>
      <x:c r="G7" t="n">
        <x:v>2091</x:v>
      </x:c>
      <x:c r="H7" t="n">
        <x:v>703</x:v>
      </x:c>
      <x:c r="I7" t="n">
        <x:v>1582</x:v>
      </x:c>
      <x:c r="J7" t="n">
        <x:v>381</x:v>
      </x:c>
      <x:c r="K7" t="n">
        <x:v>120</x:v>
      </x:c>
      <x:c r="L7" t="n">
        <x:v>45677</x:v>
      </x:c>
      <x:c r="M7" t="str">
        <x:v>OK</x:v>
      </x:c>
    </x:row>
    <x:row r="8">
      <x:c r="A8" t="str">
        <x:v>DOV-DPF-02-07</x:v>
      </x:c>
      <x:c r="B8" t="str">
        <x:v>Dove Shampoo</x:v>
      </x:c>
      <x:c r="C8" t="str">
        <x:v>Personal Care</x:v>
      </x:c>
      <x:c r="D8" t="str">
        <x:v>Dove</x:v>
      </x:c>
      <x:c r="E8" t="str">
        <x:v>Rangpur</x:v>
      </x:c>
      <x:c r="F8" t="str">
        <x:v>Rangpur DC</x:v>
      </x:c>
      <x:c r="G8" t="n">
        <x:v>2940</x:v>
      </x:c>
      <x:c r="H8" t="n">
        <x:v>483</x:v>
      </x:c>
      <x:c r="I8" t="n">
        <x:v>1138</x:v>
      </x:c>
      <x:c r="J8" t="n">
        <x:v>608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DOV-DPF-02-08</x:v>
      </x:c>
      <x:c r="B9" t="str">
        <x:v>Dove Shampoo</x:v>
      </x:c>
      <x:c r="C9" t="str">
        <x:v>Personal Care</x:v>
      </x:c>
      <x:c r="D9" t="str">
        <x:v>Dove</x:v>
      </x:c>
      <x:c r="E9" t="str">
        <x:v>Mymensingh</x:v>
      </x:c>
      <x:c r="F9" t="str">
        <x:v>Mymensingh DC</x:v>
      </x:c>
      <x:c r="G9" t="n">
        <x:v>2540</x:v>
      </x:c>
      <x:c r="H9" t="n">
        <x:v>589</x:v>
      </x:c>
      <x:c r="I9" t="n">
        <x:v>1388</x:v>
      </x:c>
      <x:c r="J9" t="n">
        <x:v>106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19</x:v>
      </x:c>
      <x:c r="G2" t="n">
        <x:v>18.1</x:v>
      </x:c>
      <x:c r="H2" t="n">
        <x:v>146745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20.8</x:v>
      </x:c>
      <x:c r="G3" t="n">
        <x:v>25.6</x:v>
      </x:c>
      <x:c r="H3" t="n">
        <x:v>77210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17.8</x:v>
      </x:c>
      <x:c r="G4" t="n">
        <x:v>17.9</x:v>
      </x:c>
      <x:c r="H4" t="n">
        <x:v>130769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12.4</x:v>
      </x:c>
      <x:c r="G5" t="n">
        <x:v>8.9</x:v>
      </x:c>
      <x:c r="H5" t="n">
        <x:v>150126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Personal Care</x:v>
      </x:c>
      <x:c r="E2" t="n">
        <x:v>382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Personal Care</x:v>
      </x:c>
      <x:c r="E3" t="n">
        <x:v>434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Personal Care</x:v>
      </x:c>
      <x:c r="E4" t="n">
        <x:v>438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Personal Care</x:v>
      </x:c>
      <x:c r="E5" t="n">
        <x:v>408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7.55</x:v>
      </x:c>
      <x:c r="C2" t="n">
        <x:v>100.05</x:v>
      </x:c>
      <x:c r="D2" t="n">
        <x:v>87.18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8.15</x:v>
      </x:c>
      <x:c r="C3" t="n">
        <x:v>99.71</x:v>
      </x:c>
      <x:c r="D3" t="n">
        <x:v>86.05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8.37</x:v>
      </x:c>
      <x:c r="C4" t="n">
        <x:v>100.08</x:v>
      </x:c>
      <x:c r="D4" t="n">
        <x:v>85.79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8.45</x:v>
      </x:c>
      <x:c r="C5" t="n">
        <x:v>101.24</x:v>
      </x:c>
      <x:c r="D5" t="n">
        <x:v>86.01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8.55</x:v>
      </x:c>
      <x:c r="C6" t="n">
        <x:v>100.83</x:v>
      </x:c>
      <x:c r="D6" t="n">
        <x:v>85.72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8.85</x:v>
      </x:c>
      <x:c r="C7" t="n">
        <x:v>100.65</x:v>
      </x:c>
      <x:c r="D7" t="n">
        <x:v>85.16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8.57</x:v>
      </x:c>
      <x:c r="C8" t="n">
        <x:v>102.8</x:v>
      </x:c>
      <x:c r="D8" t="n">
        <x:v>86.28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8.67</x:v>
      </x:c>
      <x:c r="C9" t="n">
        <x:v>101.25</x:v>
      </x:c>
      <x:c r="D9" t="n">
        <x:v>85.64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7.88</x:v>
      </x:c>
      <x:c r="C10" t="n">
        <x:v>101.93</x:v>
      </x:c>
      <x:c r="D10" t="n">
        <x:v>87.19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7.93</x:v>
      </x:c>
      <x:c r="C11" t="n">
        <x:v>103.46</x:v>
      </x:c>
      <x:c r="D11" t="n">
        <x:v>87.56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7.5</x:v>
      </x:c>
      <x:c r="C12" t="n">
        <x:v>102.74</x:v>
      </x:c>
      <x:c r="D12" t="n">
        <x:v>88.07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6.69</x:v>
      </x:c>
      <x:c r="C13" t="n">
        <x:v>103.97</x:v>
      </x:c>
      <x:c r="D13" t="n">
        <x:v>89.81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6.71</x:v>
      </x:c>
      <x:c r="C14" t="n">
        <x:v>103.82</x:v>
      </x:c>
      <x:c r="D14" t="n">
        <x:v>89.73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6.68</x:v>
      </x:c>
      <x:c r="C15" t="n">
        <x:v>104.21</x:v>
      </x:c>
      <x:c r="D15" t="n">
        <x:v>89.91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6.01</x:v>
      </x:c>
      <x:c r="C16" t="n">
        <x:v>104.83</x:v>
      </x:c>
      <x:c r="D16" t="n">
        <x:v>91.24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6.23</x:v>
      </x:c>
      <x:c r="C17" t="n">
        <x:v>104.83</x:v>
      </x:c>
      <x:c r="D17" t="n">
        <x:v>90.86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6.79</x:v>
      </x:c>
      <x:c r="C18" t="n">
        <x:v>104.07</x:v>
      </x:c>
      <x:c r="D18" t="n">
        <x:v>89.68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6.58</x:v>
      </x:c>
      <x:c r="C19" t="n">
        <x:v>104.31</x:v>
      </x:c>
      <x:c r="D19" t="n">
        <x:v>90.12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7</x:v>
      </x:c>
      <x:c r="F2" t="n">
        <x:v>6</x:v>
      </x:c>
      <x:c r="G2" t="n">
        <x:v>3</x:v>
      </x:c>
      <x:c r="H2" t="n">
        <x:v>22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6</x:v>
      </x:c>
      <x:c r="E3" t="n">
        <x:v>8</x:v>
      </x:c>
      <x:c r="F3" t="n">
        <x:v>7</x:v>
      </x:c>
      <x:c r="G3" t="n">
        <x:v>2</x:v>
      </x:c>
      <x:c r="H3" t="n">
        <x:v>23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4</x:v>
      </x:c>
      <x:c r="E4" t="n">
        <x:v>12</x:v>
      </x:c>
      <x:c r="F4" t="n">
        <x:v>6</x:v>
      </x:c>
      <x:c r="G4" t="n">
        <x:v>1</x:v>
      </x:c>
      <x:c r="H4" t="n">
        <x:v>23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11</x:v>
      </x:c>
      <x:c r="F5" t="n">
        <x:v>6</x:v>
      </x:c>
      <x:c r="G5" t="n">
        <x:v>1</x:v>
      </x:c>
      <x:c r="H5" t="n">
        <x:v>20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1621</x:v>
      </x:c>
      <x:c r="C2" t="n">
        <x:v>1829</x:v>
      </x:c>
      <x:c r="D2" t="n">
        <x:f>C2-B2</x:f>
        <x:v>208</x:v>
      </x:c>
      <x:c r="E2" t="n">
        <x:f>ABS(D2)</x:f>
        <x:v>208</x:v>
      </x:c>
      <x:c r="F2" s="22" t="n">
        <x:f>IFERROR(E2/C2,0)</x:f>
        <x:v>0.11372334609075997</x:v>
      </x:c>
      <x:c r="G2" t="str">
        <x:v>Formula columns should calculate error and accuracy</x:v>
      </x:c>
    </x:row>
    <x:row r="3">
      <x:c r="A3" t="n">
        <x:v>45505</x:v>
      </x:c>
      <x:c r="B3" t="n">
        <x:v>1886</x:v>
      </x:c>
      <x:c r="C3" t="n">
        <x:v>1744</x:v>
      </x:c>
      <x:c r="D3" t="n">
        <x:f>C3-B3</x:f>
        <x:v>-142</x:v>
      </x:c>
      <x:c r="E3" t="n">
        <x:f>ABS(D3)</x:f>
        <x:v>142</x:v>
      </x:c>
      <x:c r="F3" s="22" t="n">
        <x:f>IFERROR(E3/C3,0)</x:f>
        <x:v>0.08142201834862385</x:v>
      </x:c>
      <x:c r="G3" t="str">
        <x:v>Formula columns should calculate error and accuracy</x:v>
      </x:c>
    </x:row>
    <x:row r="4">
      <x:c r="A4" t="n">
        <x:v>45536</x:v>
      </x:c>
      <x:c r="B4" t="n">
        <x:v>1962</x:v>
      </x:c>
      <x:c r="C4" t="n">
        <x:v>2042</x:v>
      </x:c>
      <x:c r="D4" t="n">
        <x:f>C4-B4</x:f>
        <x:v>80</x:v>
      </x:c>
      <x:c r="E4" t="n">
        <x:f>ABS(D4)</x:f>
        <x:v>80</x:v>
      </x:c>
      <x:c r="F4" s="22" t="n">
        <x:f>IFERROR(E4/C4,0)</x:f>
        <x:v>0.039177277179236046</x:v>
      </x:c>
      <x:c r="G4" t="str">
        <x:v>Formula columns should calculate error and accuracy</x:v>
      </x:c>
    </x:row>
    <x:row r="5">
      <x:c r="A5" t="n">
        <x:v>45566</x:v>
      </x:c>
      <x:c r="B5" t="n">
        <x:v>1880</x:v>
      </x:c>
      <x:c r="C5" t="n">
        <x:v>1549</x:v>
      </x:c>
      <x:c r="D5" t="n">
        <x:f>C5-B5</x:f>
        <x:v>-331</x:v>
      </x:c>
      <x:c r="E5" t="n">
        <x:f>ABS(D5)</x:f>
        <x:v>331</x:v>
      </x:c>
      <x:c r="F5" s="22" t="n">
        <x:f>IFERROR(E5/C5,0)</x:f>
        <x:v>0.21368624919302776</x:v>
      </x:c>
      <x:c r="G5" t="str">
        <x:v>Formula columns should calculate error and accuracy</x:v>
      </x:c>
    </x:row>
    <x:row r="6">
      <x:c r="A6" t="n">
        <x:v>45597</x:v>
      </x:c>
      <x:c r="B6" t="n">
        <x:v>1779</x:v>
      </x:c>
      <x:c r="C6" t="n">
        <x:v>2087</x:v>
      </x:c>
      <x:c r="D6" t="n">
        <x:f>C6-B6</x:f>
        <x:v>308</x:v>
      </x:c>
      <x:c r="E6" t="n">
        <x:f>ABS(D6)</x:f>
        <x:v>308</x:v>
      </x:c>
      <x:c r="F6" s="22" t="n">
        <x:f>IFERROR(E6/C6,0)</x:f>
        <x:v>0.14758025874460948</x:v>
      </x:c>
      <x:c r="G6" t="str">
        <x:v>Formula columns should calculate error and accuracy</x:v>
      </x:c>
    </x:row>
    <x:row r="7">
      <x:c r="A7" t="n">
        <x:v>45627</x:v>
      </x:c>
      <x:c r="B7" t="n">
        <x:v>2140</x:v>
      </x:c>
      <x:c r="C7" t="n">
        <x:v>2222</x:v>
      </x:c>
      <x:c r="D7" t="n">
        <x:f>C7-B7</x:f>
        <x:v>82</x:v>
      </x:c>
      <x:c r="E7" t="n">
        <x:f>ABS(D7)</x:f>
        <x:v>82</x:v>
      </x:c>
      <x:c r="F7" s="22" t="n">
        <x:f>IFERROR(E7/C7,0)</x:f>
        <x:v>0.0369036903690369</x:v>
      </x:c>
      <x:c r="G7" t="str">
        <x:v>Formula columns should calculate error and accuracy</x:v>
      </x:c>
    </x:row>
    <x:row r="8">
      <x:c r="A8" t="n">
        <x:v>45658</x:v>
      </x:c>
      <x:c r="B8" t="n">
        <x:v>2151</x:v>
      </x:c>
      <x:c r="C8" t="n">
        <x:v>2265</x:v>
      </x:c>
      <x:c r="D8" t="n">
        <x:f>C8-B8</x:f>
        <x:v>114</x:v>
      </x:c>
      <x:c r="E8" t="n">
        <x:f>ABS(D8)</x:f>
        <x:v>114</x:v>
      </x:c>
      <x:c r="F8" s="22" t="n">
        <x:f>IFERROR(E8/C8,0)</x:f>
        <x:v>0.05033112582781457</x:v>
      </x:c>
      <x:c r="G8" t="str">
        <x:v>Formula columns should calculate error and accuracy</x:v>
      </x:c>
    </x:row>
    <x:row r="9">
      <x:c r="A9" t="n">
        <x:v>45689</x:v>
      </x:c>
      <x:c r="B9" t="n">
        <x:v>1908</x:v>
      </x:c>
      <x:c r="C9" t="n">
        <x:v>1662</x:v>
      </x:c>
      <x:c r="D9" t="n">
        <x:f>C9-B9</x:f>
        <x:v>-246</x:v>
      </x:c>
      <x:c r="E9" t="n">
        <x:f>ABS(D9)</x:f>
        <x:v>246</x:v>
      </x:c>
      <x:c r="F9" s="22" t="n">
        <x:f>IFERROR(E9/C9,0)</x:f>
        <x:v>0.148014440433213</x:v>
      </x:c>
      <x:c r="G9" t="str">
        <x:v>Formula columns should calculate error and accuracy</x:v>
      </x:c>
    </x:row>
    <x:row r="10">
      <x:c r="A10" t="n">
        <x:v>45717</x:v>
      </x:c>
      <x:c r="B10" t="n">
        <x:v>2008</x:v>
      </x:c>
      <x:c r="C10" t="n">
        <x:v>2369</x:v>
      </x:c>
      <x:c r="D10" t="n">
        <x:f>C10-B10</x:f>
        <x:v>361</x:v>
      </x:c>
      <x:c r="E10" t="n">
        <x:f>ABS(D10)</x:f>
        <x:v>361</x:v>
      </x:c>
      <x:c r="F10" s="22" t="n">
        <x:f>IFERROR(E10/C10,0)</x:f>
        <x:v>0.15238497256226255</x:v>
      </x:c>
      <x:c r="G10" t="str">
        <x:v>Formula columns should calculate error and accuracy</x:v>
      </x:c>
    </x:row>
    <x:row r="11">
      <x:c r="A11" t="n">
        <x:v>45748</x:v>
      </x:c>
      <x:c r="B11" t="n">
        <x:v>2250</x:v>
      </x:c>
      <x:c r="C11" t="n">
        <x:v>2620</x:v>
      </x:c>
      <x:c r="D11" t="n">
        <x:f>C11-B11</x:f>
        <x:v>370</x:v>
      </x:c>
      <x:c r="E11" t="n">
        <x:f>ABS(D11)</x:f>
        <x:v>370</x:v>
      </x:c>
      <x:c r="F11" s="22" t="n">
        <x:f>IFERROR(E11/C11,0)</x:f>
        <x:v>0.14122137404580154</x:v>
      </x:c>
      <x:c r="G11" t="str">
        <x:v>Formula columns should calculate error and accuracy</x:v>
      </x:c>
    </x:row>
    <x:row r="12">
      <x:c r="A12" t="n">
        <x:v>45778</x:v>
      </x:c>
      <x:c r="B12" t="n">
        <x:v>2332</x:v>
      </x:c>
      <x:c r="C12" t="n">
        <x:v>2108</x:v>
      </x:c>
      <x:c r="D12" t="n">
        <x:f>C12-B12</x:f>
        <x:v>-224</x:v>
      </x:c>
      <x:c r="E12" t="n">
        <x:f>ABS(D12)</x:f>
        <x:v>224</x:v>
      </x:c>
      <x:c r="F12" s="22" t="n">
        <x:f>IFERROR(E12/C12,0)</x:f>
        <x:v>0.1062618595825427</x:v>
      </x:c>
      <x:c r="G12" t="str">
        <x:v>Formula columns should calculate error and accuracy</x:v>
      </x:c>
    </x:row>
    <x:row r="13">
      <x:c r="A13" t="n">
        <x:v>45809</x:v>
      </x:c>
      <x:c r="B13" t="n">
        <x:v>2086</x:v>
      </x:c>
      <x:c r="C13" t="n">
        <x:v>1796</x:v>
      </x:c>
      <x:c r="D13" t="n">
        <x:f>C13-B13</x:f>
        <x:v>-290</x:v>
      </x:c>
      <x:c r="E13" t="n">
        <x:f>ABS(D13)</x:f>
        <x:v>290</x:v>
      </x:c>
      <x:c r="F13" s="22" t="n">
        <x:f>IFERROR(E13/C13,0)</x:f>
        <x:v>0.16146993318485522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100</x:v>
      </x:c>
      <x:c r="E2" t="n">
        <x:v>1854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79</x:v>
      </x:c>
      <x:c r="E3" t="n">
        <x:v>1759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100</x:v>
      </x:c>
      <x:c r="E4" t="n">
        <x:v>1489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60</x:v>
      </x:c>
      <x:c r="E5" t="n">
        <x:v>1277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56</x:v>
      </x:c>
      <x:c r="E6" t="n">
        <x:v>1200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46</x:v>
      </x:c>
      <x:c r="E7" t="n">
        <x:v>695</x:v>
      </x:c>
      <x:c r="F7" t="str">
        <x:v>Low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66</x:v>
      </x:c>
      <x:c r="E8" t="n">
        <x:v>1356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71</x:v>
      </x:c>
      <x:c r="E9" t="n">
        <x:v>1471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5</x:v>
      </x:c>
      <x:c r="F2" t="n">
        <x:v>1881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7</x:v>
      </x:c>
      <x:c r="F3" t="n">
        <x:v>3891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Festival-based</x:v>
      </x:c>
      <x:c r="E4" t="n">
        <x:v>4</x:v>
      </x:c>
      <x:c r="F4" t="n">
        <x:v>1545</x:v>
      </x:c>
      <x:c r="G4" t="str">
        <x:v>Demand rises before Ramadan/Eid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Festival-based</x:v>
      </x:c>
      <x:c r="E5" t="n">
        <x:v>6</x:v>
      </x:c>
      <x:c r="F5" t="n">
        <x:v>2477</x:v>
      </x:c>
      <x:c r="G5" t="str">
        <x:v>Demand rises before Ramadan/Eid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4</x:v>
      </x:c>
      <x:c r="F6" t="n">
        <x:v>1368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99</x:v>
      </x:c>
      <x:c r="F2" t="n">
        <x:v>87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104</x:v>
      </x:c>
      <x:c r="F3" t="n">
        <x:v>78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18</x:v>
      </x:c>
      <x:c r="F4" t="n">
        <x:v>94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13</x:v>
      </x:c>
      <x:c r="F5" t="n">
        <x:v>71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Dove Shampoo Dove Personal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Dove Shampoo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Personal Care competitor pricing promotions Bangladesh Dove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Dove Shampoo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80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76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72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81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