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ec227dd21541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enario_Info" sheetId="1" r:id="R6afdc8751ce64232"/>
    <x:sheet xmlns:r="http://schemas.openxmlformats.org/officeDocument/2006/relationships" name="Historical_Sales" sheetId="2" r:id="Rdc54b03b30af4e45"/>
    <x:sheet xmlns:r="http://schemas.openxmlformats.org/officeDocument/2006/relationships" name="Inventory" sheetId="3" r:id="R3092ad82706f4f80"/>
    <x:sheet xmlns:r="http://schemas.openxmlformats.org/officeDocument/2006/relationships" name="Promotions" sheetId="4" r:id="R7b2fe2b48f5c43d4"/>
    <x:sheet xmlns:r="http://schemas.openxmlformats.org/officeDocument/2006/relationships" name="Competitors" sheetId="5" r:id="Ra31fe25c194a406a"/>
    <x:sheet xmlns:r="http://schemas.openxmlformats.org/officeDocument/2006/relationships" name="Economic" sheetId="6" r:id="Rd2a1e6b03a8341cb"/>
    <x:sheet xmlns:r="http://schemas.openxmlformats.org/officeDocument/2006/relationships" name="Lead_Time" sheetId="7" r:id="R0f73d998c82347ad"/>
    <x:sheet xmlns:r="http://schemas.openxmlformats.org/officeDocument/2006/relationships" name="Forecast_Actual" sheetId="8" r:id="R1ce62a20788f4529"/>
    <x:sheet xmlns:r="http://schemas.openxmlformats.org/officeDocument/2006/relationships" name="Regional_Demand_Map" sheetId="9" r:id="R46acc48198bc489c"/>
    <x:sheet xmlns:r="http://schemas.openxmlformats.org/officeDocument/2006/relationships" name="SCM_Flow_Map" sheetId="10" r:id="R2ae351ecc9d440e9"/>
    <x:sheet xmlns:r="http://schemas.openxmlformats.org/officeDocument/2006/relationships" name="Customer_Patterns" sheetId="11" r:id="R34a63a2203ac4e5f"/>
    <x:sheet xmlns:r="http://schemas.openxmlformats.org/officeDocument/2006/relationships" name="Technology_Data" sheetId="12" r:id="Rd5a7de1b601f4408"/>
    <x:sheet xmlns:r="http://schemas.openxmlformats.org/officeDocument/2006/relationships" name="Web_Search_Seeds" sheetId="13" r:id="Rbc32a06c6020444c"/>
    <x:sheet xmlns:r="http://schemas.openxmlformats.org/officeDocument/2006/relationships" name="Manual_Expert_Opinion" sheetId="14" r:id="R9e83d4f9817744f5"/>
    <x:sheet xmlns:r="http://schemas.openxmlformats.org/officeDocument/2006/relationships" name="Data_Issues" sheetId="15" r:id="R34a601e916c843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2">
    <x:font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F4E79"/>
      </x:patternFill>
    </x:fill>
    <x:fill>
      <x:patternFill patternType="solid">
        <x:fgColor rgb="7C2D12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32ad2294934ed9" /><Relationship Type="http://schemas.openxmlformats.org/officeDocument/2006/relationships/theme" Target="/xl/theme/theme1.xml" Id="Rae228ec1a1114d1d" /><Relationship Type="http://schemas.openxmlformats.org/officeDocument/2006/relationships/sharedStrings" Target="/xl/sharedStrings.xml" Id="R6a8e1d1e6cf5437d" /><Relationship Type="http://schemas.openxmlformats.org/officeDocument/2006/relationships/worksheet" Target="/xl/worksheets/sheet1.xml" Id="R6afdc8751ce64232" /><Relationship Type="http://schemas.openxmlformats.org/officeDocument/2006/relationships/worksheet" Target="/xl/worksheets/sheet2.xml" Id="Rdc54b03b30af4e45" /><Relationship Type="http://schemas.openxmlformats.org/officeDocument/2006/relationships/worksheet" Target="/xl/worksheets/sheet3.xml" Id="R3092ad82706f4f80" /><Relationship Type="http://schemas.openxmlformats.org/officeDocument/2006/relationships/worksheet" Target="/xl/worksheets/sheet4.xml" Id="R7b2fe2b48f5c43d4" /><Relationship Type="http://schemas.openxmlformats.org/officeDocument/2006/relationships/worksheet" Target="/xl/worksheets/sheet5.xml" Id="Ra31fe25c194a406a" /><Relationship Type="http://schemas.openxmlformats.org/officeDocument/2006/relationships/worksheet" Target="/xl/worksheets/sheet6.xml" Id="Rd2a1e6b03a8341cb" /><Relationship Type="http://schemas.openxmlformats.org/officeDocument/2006/relationships/worksheet" Target="/xl/worksheets/sheet7.xml" Id="R0f73d998c82347ad" /><Relationship Type="http://schemas.openxmlformats.org/officeDocument/2006/relationships/worksheet" Target="/xl/worksheets/sheet8.xml" Id="R1ce62a20788f4529" /><Relationship Type="http://schemas.openxmlformats.org/officeDocument/2006/relationships/worksheet" Target="/xl/worksheets/sheet9.xml" Id="R46acc48198bc489c" /><Relationship Type="http://schemas.openxmlformats.org/officeDocument/2006/relationships/worksheet" Target="/xl/worksheets/sheet10.xml" Id="R2ae351ecc9d440e9" /><Relationship Type="http://schemas.openxmlformats.org/officeDocument/2006/relationships/worksheet" Target="/xl/worksheets/sheet11.xml" Id="R34a63a2203ac4e5f" /><Relationship Type="http://schemas.openxmlformats.org/officeDocument/2006/relationships/worksheet" Target="/xl/worksheets/sheet12.xml" Id="Rd5a7de1b601f4408" /><Relationship Type="http://schemas.openxmlformats.org/officeDocument/2006/relationships/worksheet" Target="/xl/worksheets/sheet13.xml" Id="Rbc32a06c6020444c" /><Relationship Type="http://schemas.openxmlformats.org/officeDocument/2006/relationships/worksheet" Target="/xl/worksheets/sheet14.xml" Id="R9e83d4f9817744f5" /><Relationship Type="http://schemas.openxmlformats.org/officeDocument/2006/relationships/worksheet" Target="/xl/worksheets/sheet15.xml" Id="R34a601e916c843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0" hidden="0" customWidth="1"/>
  </x:cols>
  <x:sheetData>
    <x:row r="1">
      <x:c r="A1" s="6" t="str">
        <x:v>Field</x:v>
      </x:c>
      <x:c r="B1" s="6" t="str">
        <x:v>Value</x:v>
      </x:c>
    </x:row>
    <x:row r="2">
      <x:c r="A2" t="str">
        <x:v>Scenario ID</x:v>
      </x:c>
      <x:c r="B2" t="str">
        <x:v>DPF-16</x:v>
      </x:c>
    </x:row>
    <x:row r="3">
      <x:c r="A3" t="str">
        <x:v>Scenario Title</x:v>
      </x:c>
      <x:c r="B3" t="str">
        <x:v>Missing Historical Months</x:v>
      </x:c>
    </x:row>
    <x:row r="4">
      <x:c r="A4" t="str">
        <x:v>Purpose</x:v>
      </x:c>
      <x:c r="B4" t="str">
        <x:v>Test missing period detection.</x:v>
      </x:c>
    </x:row>
    <x:row r="5">
      <x:c r="A5" t="str">
        <x:v>Product Name</x:v>
      </x:c>
      <x:c r="B5" t="str">
        <x:v>Rice 5kg</x:v>
      </x:c>
    </x:row>
    <x:row r="6">
      <x:c r="A6" t="str">
        <x:v>Category</x:v>
      </x:c>
      <x:c r="B6" t="str">
        <x:v>Grocery</x:v>
      </x:c>
    </x:row>
    <x:row r="7">
      <x:c r="A7" t="str">
        <x:v>Brand</x:v>
      </x:c>
      <x:c r="B7" t="str">
        <x:v>Pran</x:v>
      </x:c>
    </x:row>
    <x:row r="8">
      <x:c r="A8" t="str">
        <x:v>Expected App Behavior</x:v>
      </x:c>
      <x:c r="B8" t="str">
        <x:v>App should ingest data, run selected modules, generate dashboard outputs and export report.</x:v>
      </x:c>
    </x:row>
    <x:row r="9">
      <x:c r="A9" t="str">
        <x:v>Data Quality</x:v>
      </x:c>
      <x:c r="B9" t="str">
        <x:v>Messy/Edge Case</x:v>
      </x:c>
    </x:row>
    <x:row r="10">
      <x:c r="A10" t="str">
        <x:v>Modules Covered</x:v>
      </x:c>
      <x:c r="B10" t="str">
        <x:v>Historical Sales, Forecast Accuracy</x:v>
      </x:c>
    </x:row>
    <x:row r="11">
      <x:c r="A11" t="str">
        <x:v>Recommended Inputs To Tick</x:v>
      </x:c>
      <x:c r="B11" t="str">
        <x:v>Historical Sales Data, Forecast Accuracy</x:v>
      </x:c>
    </x:row>
    <x:row r="12">
      <x:c r="A12" t="str">
        <x:v>Recommended Outputs To Tick</x:v>
      </x:c>
      <x:c r="B12" t="str">
        <x:v>Sales Trend Analysis, Forecast Accuracy Report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4" hidden="0" customWidth="1"/>
    <x:col min="8" max="8" width="14" hidden="0" customWidth="1"/>
    <x:col min="9" max="9" width="16" hidden="0" customWidth="1"/>
    <x:col min="10" max="10" width="38" hidden="0" customWidth="1"/>
  </x:cols>
  <x:sheetData>
    <x:row r="1">
      <x:c r="A1" s="16" t="str">
        <x:v>Month</x:v>
      </x:c>
      <x:c r="B1" s="16" t="str">
        <x:v>ProductName</x:v>
      </x:c>
      <x:c r="C1" s="16" t="str">
        <x:v>Category</x:v>
      </x:c>
      <x:c r="D1" s="16" t="str">
        <x:v>Brand</x:v>
      </x:c>
      <x:c r="E1" s="16" t="str">
        <x:v>Region</x:v>
      </x:c>
      <x:c r="F1" s="16" t="str">
        <x:v>Channel</x:v>
      </x:c>
      <x:c r="G1" s="16" t="str">
        <x:v>UnitsSold</x:v>
      </x:c>
      <x:c r="H1" s="16" t="str">
        <x:v>UnitPriceBDT</x:v>
      </x:c>
      <x:c r="I1" s="16" t="str">
        <x:v>RevenueBDT</x:v>
      </x:c>
      <x:c r="J1" s="16" t="str">
        <x:v>Notes</x:v>
      </x:c>
    </x:row>
    <x:row r="2">
      <x:c r="A2" t="n">
        <x:v>45292</x:v>
      </x:c>
      <x:c r="B2" t="str">
        <x:v>Rice 5kg</x:v>
      </x:c>
      <x:c r="C2" t="str">
        <x:v>Grocery</x:v>
      </x:c>
      <x:c r="D2" t="str">
        <x:v>Pran</x:v>
      </x:c>
      <x:c r="E2" t="str">
        <x:v>Dhaka</x:v>
      </x:c>
      <x:c r="F2" t="str">
        <x:v>Retail</x:v>
      </x:c>
      <x:c r="G2" t="n">
        <x:v>2416</x:v>
      </x:c>
      <x:c r="H2" t="n">
        <x:v>420</x:v>
      </x:c>
      <x:c r="I2" t="n">
        <x:v>1014720</x:v>
      </x:c>
      <x:c r="J2" t="str"/>
    </x:row>
    <x:row r="3">
      <x:c r="A3" t="n">
        <x:v>45323</x:v>
      </x:c>
      <x:c r="B3" t="str">
        <x:v>Rice 5kg</x:v>
      </x:c>
      <x:c r="C3" t="str">
        <x:v>Grocery</x:v>
      </x:c>
      <x:c r="D3" t="str">
        <x:v>Pran</x:v>
      </x:c>
      <x:c r="E3" t="str">
        <x:v>Chattogram</x:v>
      </x:c>
      <x:c r="F3" t="str">
        <x:v>Online</x:v>
      </x:c>
      <x:c r="G3" t="n">
        <x:v>2707</x:v>
      </x:c>
      <x:c r="H3" t="n">
        <x:v>420</x:v>
      </x:c>
      <x:c r="I3" t="n">
        <x:v>1136940</x:v>
      </x:c>
      <x:c r="J3" t="str"/>
    </x:row>
    <x:row r="4">
      <x:c r="A4" t="n">
        <x:v>45352</x:v>
      </x:c>
      <x:c r="B4" t="str">
        <x:v>Rice 5kg</x:v>
      </x:c>
      <x:c r="C4" t="str">
        <x:v>Grocery</x:v>
      </x:c>
      <x:c r="D4" t="str">
        <x:v>Pran</x:v>
      </x:c>
      <x:c r="E4" t="str">
        <x:v>Sylhet</x:v>
      </x:c>
      <x:c r="F4" t="str">
        <x:v>Wholesale</x:v>
      </x:c>
      <x:c r="G4" t="n">
        <x:v>2478</x:v>
      </x:c>
      <x:c r="H4" t="n">
        <x:v>420</x:v>
      </x:c>
      <x:c r="I4" t="n">
        <x:v>1040760</x:v>
      </x:c>
      <x:c r="J4" t="str"/>
    </x:row>
    <x:row r="5">
      <x:c r="A5" t="n">
        <x:v>45383</x:v>
      </x:c>
      <x:c r="B5" t="str">
        <x:v>Rice 5kg</x:v>
      </x:c>
      <x:c r="C5" t="str">
        <x:v>Grocery</x:v>
      </x:c>
      <x:c r="D5" t="str">
        <x:v>Pran</x:v>
      </x:c>
      <x:c r="E5" t="str">
        <x:v>Rajshahi</x:v>
      </x:c>
      <x:c r="F5" t="str">
        <x:v>Modern Trade</x:v>
      </x:c>
      <x:c r="G5" t="n">
        <x:v>2646</x:v>
      </x:c>
      <x:c r="H5" t="n">
        <x:v>420</x:v>
      </x:c>
      <x:c r="I5" t="n">
        <x:v>1111320</x:v>
      </x:c>
      <x:c r="J5" t="str"/>
    </x:row>
    <x:row r="6">
      <x:c r="A6" t="n">
        <x:v>45444</x:v>
      </x:c>
      <x:c r="B6" t="str">
        <x:v>Rice 5kg</x:v>
      </x:c>
      <x:c r="C6" t="str">
        <x:v>Grocery</x:v>
      </x:c>
      <x:c r="D6" t="str">
        <x:v>Pran</x:v>
      </x:c>
      <x:c r="E6" t="str">
        <x:v>Barishal</x:v>
      </x:c>
      <x:c r="F6" t="str">
        <x:v>Online</x:v>
      </x:c>
      <x:c r="G6" t="n">
        <x:v>2985</x:v>
      </x:c>
      <x:c r="H6" t="n">
        <x:v>420</x:v>
      </x:c>
      <x:c r="I6" t="n">
        <x:v>1253700</x:v>
      </x:c>
      <x:c r="J6" t="str"/>
    </x:row>
    <x:row r="7">
      <x:c r="A7" t="n">
        <x:v>45474</x:v>
      </x:c>
      <x:c r="B7" t="str">
        <x:v>Rice 5kg</x:v>
      </x:c>
      <x:c r="C7" t="str">
        <x:v>Grocery</x:v>
      </x:c>
      <x:c r="D7" t="str">
        <x:v>Pran</x:v>
      </x:c>
      <x:c r="E7" t="str">
        <x:v>Rangpur</x:v>
      </x:c>
      <x:c r="F7" t="str">
        <x:v>Wholesale</x:v>
      </x:c>
      <x:c r="G7" t="n">
        <x:v>3034</x:v>
      </x:c>
      <x:c r="H7" t="n">
        <x:v>420</x:v>
      </x:c>
      <x:c r="I7" t="n">
        <x:v>1274280</x:v>
      </x:c>
      <x:c r="J7" t="str"/>
    </x:row>
    <x:row r="8">
      <x:c r="A8" t="n">
        <x:v>45505</x:v>
      </x:c>
      <x:c r="B8" t="str">
        <x:v>Rice 5kg</x:v>
      </x:c>
      <x:c r="C8" t="str">
        <x:v>Grocery</x:v>
      </x:c>
      <x:c r="D8" t="str">
        <x:v>Pran</x:v>
      </x:c>
      <x:c r="E8" t="str">
        <x:v>Mymensingh</x:v>
      </x:c>
      <x:c r="F8" t="str">
        <x:v>Modern Trade</x:v>
      </x:c>
      <x:c r="G8" t="n">
        <x:v>2693</x:v>
      </x:c>
      <x:c r="H8" t="n">
        <x:v>420</x:v>
      </x:c>
      <x:c r="I8" t="n">
        <x:v>1131060</x:v>
      </x:c>
      <x:c r="J8" t="str"/>
    </x:row>
    <x:row r="9">
      <x:c r="A9" t="n">
        <x:v>45566</x:v>
      </x:c>
      <x:c r="B9" t="str">
        <x:v>Rice 5kg</x:v>
      </x:c>
      <x:c r="C9" t="str">
        <x:v>Grocery</x:v>
      </x:c>
      <x:c r="D9" t="str">
        <x:v>Pran</x:v>
      </x:c>
      <x:c r="E9" t="str">
        <x:v>Chattogram</x:v>
      </x:c>
      <x:c r="F9" t="str">
        <x:v>Online</x:v>
      </x:c>
      <x:c r="G9" t="n">
        <x:v>2768</x:v>
      </x:c>
      <x:c r="H9" t="n">
        <x:v>420</x:v>
      </x:c>
      <x:c r="I9" t="n">
        <x:v>1162560</x:v>
      </x:c>
      <x:c r="J9" t="str"/>
    </x:row>
    <x:row r="10">
      <x:c r="A10" t="n">
        <x:v>45597</x:v>
      </x:c>
      <x:c r="B10" t="str">
        <x:v>Rice 5kg</x:v>
      </x:c>
      <x:c r="C10" t="str">
        <x:v>Grocery</x:v>
      </x:c>
      <x:c r="D10" t="str">
        <x:v>Pran</x:v>
      </x:c>
      <x:c r="E10" t="str">
        <x:v>Sylhet</x:v>
      </x:c>
      <x:c r="F10" t="str">
        <x:v>Wholesale</x:v>
      </x:c>
      <x:c r="G10" t="n">
        <x:v>3089</x:v>
      </x:c>
      <x:c r="H10" t="n">
        <x:v>420</x:v>
      </x:c>
      <x:c r="I10" t="n">
        <x:v>1297380</x:v>
      </x:c>
      <x:c r="J10" t="str"/>
    </x:row>
    <x:row r="11">
      <x:c r="A11" t="n">
        <x:v>45658</x:v>
      </x:c>
      <x:c r="B11" t="str">
        <x:v>Rice 5kg</x:v>
      </x:c>
      <x:c r="C11" t="str">
        <x:v>Grocery</x:v>
      </x:c>
      <x:c r="D11" t="str">
        <x:v>Pran</x:v>
      </x:c>
      <x:c r="E11" t="str">
        <x:v>Khulna</x:v>
      </x:c>
      <x:c r="F11" t="str">
        <x:v>Retail</x:v>
      </x:c>
      <x:c r="G11" t="n">
        <x:v>3354</x:v>
      </x:c>
      <x:c r="H11" t="n">
        <x:v>420</x:v>
      </x:c>
      <x:c r="I11" t="n">
        <x:v>1408680</x:v>
      </x:c>
      <x:c r="J11" t="str"/>
    </x:row>
    <x:row r="12">
      <x:c r="A12" t="n">
        <x:v>45689</x:v>
      </x:c>
      <x:c r="B12" t="str">
        <x:v>Rice 5kg</x:v>
      </x:c>
      <x:c r="C12" t="str">
        <x:v>Grocery</x:v>
      </x:c>
      <x:c r="D12" t="str">
        <x:v>Pran</x:v>
      </x:c>
      <x:c r="E12" t="str">
        <x:v>Barishal</x:v>
      </x:c>
      <x:c r="F12" t="str">
        <x:v>Online</x:v>
      </x:c>
      <x:c r="G12" t="n">
        <x:v>2743</x:v>
      </x:c>
      <x:c r="H12" t="n">
        <x:v>420</x:v>
      </x:c>
      <x:c r="I12" t="n">
        <x:v>1152060</x:v>
      </x:c>
      <x:c r="J12" t="str"/>
    </x:row>
    <x:row r="13">
      <x:c r="A13" t="n">
        <x:v>45717</x:v>
      </x:c>
      <x:c r="B13" t="str">
        <x:v>Rice 5kg</x:v>
      </x:c>
      <x:c r="C13" t="str">
        <x:v>Grocery</x:v>
      </x:c>
      <x:c r="D13" t="str">
        <x:v>Pran</x:v>
      </x:c>
      <x:c r="E13" t="str">
        <x:v>Rangpur</x:v>
      </x:c>
      <x:c r="F13" t="str">
        <x:v>Wholesale</x:v>
      </x:c>
      <x:c r="G13" t="n">
        <x:v>3041</x:v>
      </x:c>
      <x:c r="H13" t="n">
        <x:v>420</x:v>
      </x:c>
      <x:c r="I13" t="n">
        <x:v>1277220</x:v>
      </x:c>
      <x:c r="J13" t="str"/>
    </x:row>
    <x:row r="14">
      <x:c r="A14" t="n">
        <x:v>45748</x:v>
      </x:c>
      <x:c r="B14" t="str">
        <x:v>Rice 5kg</x:v>
      </x:c>
      <x:c r="C14" t="str">
        <x:v>Grocery</x:v>
      </x:c>
      <x:c r="D14" t="str">
        <x:v>Pran</x:v>
      </x:c>
      <x:c r="E14" t="str">
        <x:v>Mymensingh</x:v>
      </x:c>
      <x:c r="F14" t="str">
        <x:v>Modern Trade</x:v>
      </x:c>
      <x:c r="G14" t="n">
        <x:v>3045</x:v>
      </x:c>
      <x:c r="H14" t="n">
        <x:v>420</x:v>
      </x:c>
      <x:c r="I14" t="n">
        <x:v>1278900</x:v>
      </x:c>
      <x:c r="J14" t="str"/>
    </x:row>
    <x:row r="15">
      <x:c r="A15" t="n">
        <x:v>45809</x:v>
      </x:c>
      <x:c r="B15" t="str">
        <x:v>Rice 5kg</x:v>
      </x:c>
      <x:c r="C15" t="str">
        <x:v>Grocery</x:v>
      </x:c>
      <x:c r="D15" t="str">
        <x:v>Pran</x:v>
      </x:c>
      <x:c r="E15" t="str">
        <x:v>Chattogram</x:v>
      </x:c>
      <x:c r="F15" t="str">
        <x:v>Online</x:v>
      </x:c>
      <x:c r="G15" t="n">
        <x:v>3528</x:v>
      </x:c>
      <x:c r="H15" t="n">
        <x:v>420</x:v>
      </x:c>
      <x:c r="I15" t="n">
        <x:v>1481760</x:v>
      </x:c>
      <x:c r="J15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6" hidden="0" customWidth="1"/>
    <x:col min="5" max="5" width="16" hidden="0" customWidth="1"/>
    <x:col min="6" max="6" width="18" hidden="0" customWidth="1"/>
    <x:col min="7" max="7" width="14" hidden="0" customWidth="1"/>
    <x:col min="8" max="8" width="14" hidden="0" customWidth="1"/>
    <x:col min="9" max="9" width="14" hidden="0" customWidth="1"/>
    <x:col min="10" max="10" width="16" hidden="0" customWidth="1"/>
    <x:col min="11" max="11" width="14" hidden="0" customWidth="1"/>
    <x:col min="12" max="12" width="14" hidden="0" customWidth="1"/>
    <x:col min="13" max="13" width="18" hidden="0" customWidth="1"/>
  </x:cols>
  <x:sheetData>
    <x:row r="1">
      <x:c r="A1" s="16" t="str">
        <x:v>SKU</x:v>
      </x:c>
      <x:c r="B1" s="16" t="str">
        <x:v>ProductName</x:v>
      </x:c>
      <x:c r="C1" s="16" t="str">
        <x:v>Category</x:v>
      </x:c>
      <x:c r="D1" s="16" t="str">
        <x:v>Brand</x:v>
      </x:c>
      <x:c r="E1" s="16" t="str">
        <x:v>Region</x:v>
      </x:c>
      <x:c r="F1" s="16" t="str">
        <x:v>Warehouse</x:v>
      </x:c>
      <x:c r="G1" s="16" t="str">
        <x:v>CurrentStock</x:v>
      </x:c>
      <x:c r="H1" s="16" t="str">
        <x:v>SafetyStock</x:v>
      </x:c>
      <x:c r="I1" s="16" t="str">
        <x:v>ReorderPoint</x:v>
      </x:c>
      <x:c r="J1" s="16" t="str">
        <x:v>StockInTransit</x:v>
      </x:c>
      <x:c r="K1" s="16" t="str">
        <x:v>UnitCostBDT</x:v>
      </x:c>
      <x:c r="L1" s="16" t="str">
        <x:v>LastUpdated</x:v>
      </x:c>
      <x:c r="M1" s="16" t="str">
        <x:v>InventoryStatus</x:v>
      </x:c>
    </x:row>
    <x:row r="2">
      <x:c r="A2" t="str">
        <x:v>PRA-DPF-16-01</x:v>
      </x:c>
      <x:c r="B2" t="str">
        <x:v>Rice 5kg</x:v>
      </x:c>
      <x:c r="C2" t="str">
        <x:v>Grocery</x:v>
      </x:c>
      <x:c r="D2" t="str">
        <x:v>Pran</x:v>
      </x:c>
      <x:c r="E2" t="str">
        <x:v>Dhaka</x:v>
      </x:c>
      <x:c r="F2" t="str">
        <x:v>Dhaka DC</x:v>
      </x:c>
      <x:c r="G2" t="n">
        <x:v>2085</x:v>
      </x:c>
      <x:c r="H2" t="n">
        <x:v>590</x:v>
      </x:c>
      <x:c r="I2" t="n">
        <x:v>1205</x:v>
      </x:c>
      <x:c r="J2" t="n">
        <x:v>334</x:v>
      </x:c>
      <x:c r="K2" t="n">
        <x:v>120</x:v>
      </x:c>
      <x:c r="L2" t="n">
        <x:v>45672</x:v>
      </x:c>
      <x:c r="M2" t="str">
        <x:v>OK</x:v>
      </x:c>
    </x:row>
    <x:row r="3">
      <x:c r="A3" t="str">
        <x:v>PRA-DPF-16-02</x:v>
      </x:c>
      <x:c r="B3" t="str">
        <x:v>Rice 5kg</x:v>
      </x:c>
      <x:c r="C3" t="str">
        <x:v>Grocery</x:v>
      </x:c>
      <x:c r="D3" t="str">
        <x:v>Pran</x:v>
      </x:c>
      <x:c r="E3" t="str">
        <x:v>Chattogram</x:v>
      </x:c>
      <x:c r="F3" t="str">
        <x:v>Chattogram DC</x:v>
      </x:c>
      <x:c r="G3" t="n">
        <x:v>3714</x:v>
      </x:c>
      <x:c r="H3" t="n">
        <x:v>460</x:v>
      </x:c>
      <x:c r="I3" t="n">
        <x:v>1208</x:v>
      </x:c>
      <x:c r="J3" t="n">
        <x:v>83</x:v>
      </x:c>
      <x:c r="K3" t="n">
        <x:v>120</x:v>
      </x:c>
      <x:c r="L3" t="n">
        <x:v>45673</x:v>
      </x:c>
      <x:c r="M3" t="str">
        <x:v>Overstock Risk</x:v>
      </x:c>
    </x:row>
    <x:row r="4">
      <x:c r="A4" t="str">
        <x:v>PRA-DPF-16-03</x:v>
      </x:c>
      <x:c r="B4" t="str">
        <x:v>Rice 5kg</x:v>
      </x:c>
      <x:c r="C4" t="str">
        <x:v>Grocery</x:v>
      </x:c>
      <x:c r="D4" t="str">
        <x:v>Pran</x:v>
      </x:c>
      <x:c r="E4" t="str">
        <x:v>Sylhet</x:v>
      </x:c>
      <x:c r="F4" t="str">
        <x:v>Sylhet DC</x:v>
      </x:c>
      <x:c r="G4" t="n">
        <x:v>1495</x:v>
      </x:c>
      <x:c r="H4" t="n">
        <x:v>694</x:v>
      </x:c>
      <x:c r="I4" t="n">
        <x:v>1558</x:v>
      </x:c>
      <x:c r="J4" t="n">
        <x:v>294</x:v>
      </x:c>
      <x:c r="K4" t="n">
        <x:v>120</x:v>
      </x:c>
      <x:c r="L4" t="n">
        <x:v>45674</x:v>
      </x:c>
      <x:c r="M4" t="str">
        <x:v>Reorder Needed</x:v>
      </x:c>
    </x:row>
    <x:row r="5">
      <x:c r="A5" t="str">
        <x:v>PRA-DPF-16-04</x:v>
      </x:c>
      <x:c r="B5" t="str">
        <x:v>Rice 5kg</x:v>
      </x:c>
      <x:c r="C5" t="str">
        <x:v>Grocery</x:v>
      </x:c>
      <x:c r="D5" t="str">
        <x:v>Pran</x:v>
      </x:c>
      <x:c r="E5" t="str">
        <x:v>Rajshahi</x:v>
      </x:c>
      <x:c r="F5" t="str">
        <x:v>Rajshahi DC</x:v>
      </x:c>
      <x:c r="G5" t="n">
        <x:v>1699</x:v>
      </x:c>
      <x:c r="H5" t="n">
        <x:v>636</x:v>
      </x:c>
      <x:c r="I5" t="n">
        <x:v>1441</x:v>
      </x:c>
      <x:c r="J5" t="n">
        <x:v>308</x:v>
      </x:c>
      <x:c r="K5" t="n">
        <x:v>120</x:v>
      </x:c>
      <x:c r="L5" t="n">
        <x:v>45675</x:v>
      </x:c>
      <x:c r="M5" t="str">
        <x:v>OK</x:v>
      </x:c>
    </x:row>
    <x:row r="6">
      <x:c r="A6" t="str">
        <x:v>PRA-DPF-16-05</x:v>
      </x:c>
      <x:c r="B6" t="str">
        <x:v>Rice 5kg</x:v>
      </x:c>
      <x:c r="C6" t="str">
        <x:v>Grocery</x:v>
      </x:c>
      <x:c r="D6" t="str">
        <x:v>Pran</x:v>
      </x:c>
      <x:c r="E6" t="str">
        <x:v>Khulna</x:v>
      </x:c>
      <x:c r="F6" t="str">
        <x:v>Khulna DC</x:v>
      </x:c>
      <x:c r="G6" t="n">
        <x:v>2032</x:v>
      </x:c>
      <x:c r="H6" t="n">
        <x:v>616</x:v>
      </x:c>
      <x:c r="I6" t="n">
        <x:v>1348</x:v>
      </x:c>
      <x:c r="J6" t="n">
        <x:v>159</x:v>
      </x:c>
      <x:c r="K6" t="n">
        <x:v>120</x:v>
      </x:c>
      <x:c r="L6" t="n">
        <x:v>45676</x:v>
      </x:c>
      <x:c r="M6" t="str">
        <x:v>OK</x:v>
      </x:c>
    </x:row>
    <x:row r="7">
      <x:c r="A7" t="str">
        <x:v>PRA-DPF-16-06</x:v>
      </x:c>
      <x:c r="B7" t="str">
        <x:v>Rice 5kg</x:v>
      </x:c>
      <x:c r="C7" t="str">
        <x:v>Grocery</x:v>
      </x:c>
      <x:c r="D7" t="str">
        <x:v>Pran</x:v>
      </x:c>
      <x:c r="E7" t="str">
        <x:v>Barishal</x:v>
      </x:c>
      <x:c r="F7" t="str">
        <x:v>Barishal DC</x:v>
      </x:c>
      <x:c r="G7" t="n">
        <x:v>1115</x:v>
      </x:c>
      <x:c r="H7" t="n">
        <x:v>462</x:v>
      </x:c>
      <x:c r="I7" t="n">
        <x:v>1317</x:v>
      </x:c>
      <x:c r="J7" t="n">
        <x:v>611</x:v>
      </x:c>
      <x:c r="K7" t="n">
        <x:v>120</x:v>
      </x:c>
      <x:c r="L7" t="n">
        <x:v>45677</x:v>
      </x:c>
      <x:c r="M7" t="str">
        <x:v>Reorder Needed</x:v>
      </x:c>
    </x:row>
    <x:row r="8">
      <x:c r="A8" t="str">
        <x:v>PRA-DPF-16-07</x:v>
      </x:c>
      <x:c r="B8" t="str">
        <x:v>Rice 5kg</x:v>
      </x:c>
      <x:c r="C8" t="str">
        <x:v>Grocery</x:v>
      </x:c>
      <x:c r="D8" t="str">
        <x:v>Pran</x:v>
      </x:c>
      <x:c r="E8" t="str">
        <x:v>Rangpur</x:v>
      </x:c>
      <x:c r="F8" t="str">
        <x:v>Rangpur DC</x:v>
      </x:c>
      <x:c r="G8" t="n">
        <x:v>1322</x:v>
      </x:c>
      <x:c r="H8" t="n">
        <x:v>530</x:v>
      </x:c>
      <x:c r="I8" t="n">
        <x:v>1278</x:v>
      </x:c>
      <x:c r="J8" t="n">
        <x:v>495</x:v>
      </x:c>
      <x:c r="K8" t="n">
        <x:v>120</x:v>
      </x:c>
      <x:c r="L8" t="n">
        <x:v>45678</x:v>
      </x:c>
      <x:c r="M8" t="str">
        <x:v>OK</x:v>
      </x:c>
    </x:row>
    <x:row r="9">
      <x:c r="A9" t="str">
        <x:v>PRA-DPF-16-08</x:v>
      </x:c>
      <x:c r="B9" t="str">
        <x:v>Rice 5kg</x:v>
      </x:c>
      <x:c r="C9" t="str">
        <x:v>Grocery</x:v>
      </x:c>
      <x:c r="D9" t="str">
        <x:v>Pran</x:v>
      </x:c>
      <x:c r="E9" t="str">
        <x:v>Mymensingh</x:v>
      </x:c>
      <x:c r="F9" t="str">
        <x:v>Mymensingh DC</x:v>
      </x:c>
      <x:c r="G9" t="n">
        <x:v>2743</x:v>
      </x:c>
      <x:c r="H9" t="n">
        <x:v>617</x:v>
      </x:c>
      <x:c r="I9" t="n">
        <x:v>1276</x:v>
      </x:c>
      <x:c r="J9" t="n">
        <x:v>316</x:v>
      </x:c>
      <x:c r="K9" t="n">
        <x:v>120</x:v>
      </x:c>
      <x:c r="L9" t="n">
        <x:v>45679</x:v>
      </x:c>
      <x:c r="M9" t="str">
        <x:v>Overstock Risk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6" hidden="0" customWidth="1"/>
    <x:col min="6" max="6" width="18" hidden="0" customWidth="1"/>
    <x:col min="7" max="7" width="18" hidden="0" customWidth="1"/>
    <x:col min="8" max="8" width="16" hidden="0" customWidth="1"/>
    <x:col min="9" max="9" width="38" hidden="0" customWidth="1"/>
  </x:cols>
  <x:sheetData>
    <x:row r="1">
      <x:c r="A1" s="16" t="str">
        <x:v>CampaignName</x:v>
      </x:c>
      <x:c r="B1" s="16" t="str">
        <x:v>StartDate</x:v>
      </x:c>
      <x:c r="C1" s="16" t="str">
        <x:v>EndDate</x:v>
      </x:c>
      <x:c r="D1" s="16" t="str">
        <x:v>DiscountPct</x:v>
      </x:c>
      <x:c r="E1" s="16" t="str">
        <x:v>Channel</x:v>
      </x:c>
      <x:c r="F1" s="16" t="str">
        <x:v>ExpectedUpliftPct</x:v>
      </x:c>
      <x:c r="G1" s="16" t="str">
        <x:v>ActualUpliftPct</x:v>
      </x:c>
      <x:c r="H1" s="16" t="str">
        <x:v>BudgetBDT</x:v>
      </x:c>
      <x:c r="I1" s="16" t="str">
        <x:v>Notes</x:v>
      </x:c>
    </x:row>
    <x:row r="2">
      <x:c r="A2" t="str">
        <x:v>Ramadan Bundle</x:v>
      </x:c>
      <x:c r="B2" t="n">
        <x:v>45356</x:v>
      </x:c>
      <x:c r="C2" t="n">
        <x:v>45392</x:v>
      </x:c>
      <x:c r="D2" t="n">
        <x:v>12</x:v>
      </x:c>
      <x:c r="E2" t="str">
        <x:v>Retail</x:v>
      </x:c>
      <x:c r="F2" t="n">
        <x:v>23.4</x:v>
      </x:c>
      <x:c r="G2" t="n">
        <x:v>18.6</x:v>
      </x:c>
      <x:c r="H2" t="n">
        <x:v>92003</x:v>
      </x:c>
      <x:c r="I2" t="str">
        <x:v>Use for promotion impact analysis</x:v>
      </x:c>
    </x:row>
    <x:row r="3">
      <x:c r="A3" t="str">
        <x:v>Eid Mega Offer</x:v>
      </x:c>
      <x:c r="B3" t="n">
        <x:v>45383</x:v>
      </x:c>
      <x:c r="C3" t="n">
        <x:v>45402</x:v>
      </x:c>
      <x:c r="D3" t="n">
        <x:v>18</x:v>
      </x:c>
      <x:c r="E3" t="str">
        <x:v>All</x:v>
      </x:c>
      <x:c r="F3" t="n">
        <x:v>34.6</x:v>
      </x:c>
      <x:c r="G3" t="n">
        <x:v>24.9</x:v>
      </x:c>
      <x:c r="H3" t="n">
        <x:v>125107</x:v>
      </x:c>
      <x:c r="I3" t="str">
        <x:v>Use for promotion impact analysis</x:v>
      </x:c>
    </x:row>
    <x:row r="4">
      <x:c r="A4" t="str">
        <x:v>Online Flash Sale</x:v>
      </x:c>
      <x:c r="B4" t="n">
        <x:v>45514</x:v>
      </x:c>
      <x:c r="C4" t="n">
        <x:v>45522</x:v>
      </x:c>
      <x:c r="D4" t="n">
        <x:v>15</x:v>
      </x:c>
      <x:c r="E4" t="str">
        <x:v>Online</x:v>
      </x:c>
      <x:c r="F4" t="n">
        <x:v>15.8</x:v>
      </x:c>
      <x:c r="G4" t="n">
        <x:v>16.6</x:v>
      </x:c>
      <x:c r="H4" t="n">
        <x:v>129225</x:v>
      </x:c>
      <x:c r="I4" t="str">
        <x:v>Use for promotion impact analysis</x:v>
      </x:c>
    </x:row>
    <x:row r="5">
      <x:c r="A5" t="str">
        <x:v>Winter Pack</x:v>
      </x:c>
      <x:c r="B5" t="n">
        <x:v>45627</x:v>
      </x:c>
      <x:c r="C5" t="n">
        <x:v>45657</x:v>
      </x:c>
      <x:c r="D5" t="n">
        <x:v>10</x:v>
      </x:c>
      <x:c r="E5" t="str">
        <x:v>Modern Trade</x:v>
      </x:c>
      <x:c r="F5" t="n">
        <x:v>11.8</x:v>
      </x:c>
      <x:c r="G5" t="n">
        <x:v>7.7</x:v>
      </x:c>
      <x:c r="H5" t="n">
        <x:v>82349</x:v>
      </x:c>
      <x:c r="I5" t="str">
        <x:v>Use for promotion impact analysis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4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42" hidden="0" customWidth="1"/>
    <x:col min="9" max="9" width="38" hidden="0" customWidth="1"/>
  </x:cols>
  <x:sheetData>
    <x:row r="1">
      <x:c r="A1" s="16" t="str">
        <x:v>Date</x:v>
      </x:c>
      <x:c r="B1" s="16" t="str">
        <x:v>CompetitorName</x:v>
      </x:c>
      <x:c r="C1" s="16" t="str">
        <x:v>CompetitorProduct</x:v>
      </x:c>
      <x:c r="D1" s="16" t="str">
        <x:v>Category</x:v>
      </x:c>
      <x:c r="E1" s="16" t="str">
        <x:v>CompetitorPriceBDT</x:v>
      </x:c>
      <x:c r="F1" s="16" t="str">
        <x:v>PromoActive</x:v>
      </x:c>
      <x:c r="G1" s="16" t="str">
        <x:v>LaunchEvent</x:v>
      </x:c>
      <x:c r="H1" s="16" t="str">
        <x:v>SourceURL</x:v>
      </x:c>
      <x:c r="I1" s="16" t="str">
        <x:v>Notes</x:v>
      </x:c>
    </x:row>
    <x:row r="2">
      <x:c r="A2" t="n">
        <x:v>45536</x:v>
      </x:c>
      <x:c r="B2" t="str">
        <x:v>Lux</x:v>
      </x:c>
      <x:c r="C2" t="str">
        <x:v>Lux alternative</x:v>
      </x:c>
      <x:c r="D2" t="str">
        <x:v>Grocery</x:v>
      </x:c>
      <x:c r="E2" t="n">
        <x:v>346</x:v>
      </x:c>
      <x:c r="F2" t="str">
        <x:v>No</x:v>
      </x:c>
      <x:c r="G2" t="str">
        <x:v>No</x:v>
      </x:c>
      <x:c r="H2" t="str">
        <x:v>https://example.com/competitor/lux</x:v>
      </x:c>
      <x:c r="I2" t="str"/>
    </x:row>
    <x:row r="3">
      <x:c r="A3" t="n">
        <x:v>45566</x:v>
      </x:c>
      <x:c r="B3" t="str">
        <x:v>Sunsilk</x:v>
      </x:c>
      <x:c r="C3" t="str">
        <x:v>Sunsilk alternative</x:v>
      </x:c>
      <x:c r="D3" t="str">
        <x:v>Grocery</x:v>
      </x:c>
      <x:c r="E3" t="n">
        <x:v>419</x:v>
      </x:c>
      <x:c r="F3" t="str">
        <x:v>No</x:v>
      </x:c>
      <x:c r="G3" t="str">
        <x:v>No</x:v>
      </x:c>
      <x:c r="H3" t="str">
        <x:v>https://example.com/competitor/sunsilk</x:v>
      </x:c>
      <x:c r="I3" t="str"/>
    </x:row>
    <x:row r="4">
      <x:c r="A4" t="n">
        <x:v>45597</x:v>
      </x:c>
      <x:c r="B4" t="str">
        <x:v>Nivea</x:v>
      </x:c>
      <x:c r="C4" t="str">
        <x:v>Nivea alternative</x:v>
      </x:c>
      <x:c r="D4" t="str">
        <x:v>Grocery</x:v>
      </x:c>
      <x:c r="E4" t="n">
        <x:v>397</x:v>
      </x:c>
      <x:c r="F4" t="str">
        <x:v>No</x:v>
      </x:c>
      <x:c r="G4" t="str">
        <x:v>No</x:v>
      </x:c>
      <x:c r="H4" t="str">
        <x:v>https://example.com/competitor/nivea</x:v>
      </x:c>
      <x:c r="I4" t="str"/>
    </x:row>
    <x:row r="5">
      <x:c r="A5" t="n">
        <x:v>45627</x:v>
      </x:c>
      <x:c r="B5" t="str">
        <x:v>Local Brand</x:v>
      </x:c>
      <x:c r="C5" t="str">
        <x:v>Local Brand alternative</x:v>
      </x:c>
      <x:c r="D5" t="str">
        <x:v>Grocery</x:v>
      </x:c>
      <x:c r="E5" t="n">
        <x:v>423</x:v>
      </x:c>
      <x:c r="F5" t="str">
        <x:v>No</x:v>
      </x:c>
      <x:c r="G5" t="str">
        <x:v>No</x:v>
      </x:c>
      <x:c r="H5" t="str">
        <x:v>https://example.com/competitor/local-brand</x:v>
      </x:c>
      <x:c r="I5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0" hidden="0" customWidth="1"/>
    <x:col min="5" max="5" width="16" hidden="0" customWidth="1"/>
    <x:col min="6" max="6" width="16" hidden="0" customWidth="1"/>
    <x:col min="7" max="7" width="40" hidden="0" customWidth="1"/>
  </x:cols>
  <x:sheetData>
    <x:row r="1">
      <x:c r="A1" s="16" t="str">
        <x:v>Month</x:v>
      </x:c>
      <x:c r="B1" s="16" t="str">
        <x:v>InflationPct</x:v>
      </x:c>
      <x:c r="C1" s="16" t="str">
        <x:v>IncomeIndex</x:v>
      </x:c>
      <x:c r="D1" s="16" t="str">
        <x:v>PurchasingPowerIndex</x:v>
      </x:c>
      <x:c r="E1" s="16" t="str">
        <x:v>FXRateBDTUSD</x:v>
      </x:c>
      <x:c r="F1" s="16" t="str">
        <x:v>EconomicRisk</x:v>
      </x:c>
      <x:c r="G1" s="16" t="str">
        <x:v>Notes</x:v>
      </x:c>
    </x:row>
    <x:row r="2">
      <x:c r="A2" t="n">
        <x:v>45292</x:v>
      </x:c>
      <x:c r="B2" t="n">
        <x:v>7.69</x:v>
      </x:c>
      <x:c r="C2" t="n">
        <x:v>99.52</x:v>
      </x:c>
      <x:c r="D2" t="n">
        <x:v>86.78</x:v>
      </x:c>
      <x:c r="E2" t="n">
        <x:v>109</x:v>
      </x:c>
      <x:c r="F2" t="str">
        <x:v>Medium</x:v>
      </x:c>
      <x:c r="G2" t="str">
        <x:v>Economic conditions for demand adjustment</x:v>
      </x:c>
    </x:row>
    <x:row r="3">
      <x:c r="A3" t="n">
        <x:v>45323</x:v>
      </x:c>
      <x:c r="B3" t="n">
        <x:v>7.82</x:v>
      </x:c>
      <x:c r="C3" t="n">
        <x:v>100.8</x:v>
      </x:c>
      <x:c r="D3" t="n">
        <x:v>86.95</x:v>
      </x:c>
      <x:c r="E3" t="n">
        <x:v>109.4</x:v>
      </x:c>
      <x:c r="F3" t="str">
        <x:v>Medium</x:v>
      </x:c>
      <x:c r="G3" t="str">
        <x:v>Economic conditions for demand adjustment</x:v>
      </x:c>
    </x:row>
    <x:row r="4">
      <x:c r="A4" t="n">
        <x:v>45352</x:v>
      </x:c>
      <x:c r="B4" t="n">
        <x:v>8.47</x:v>
      </x:c>
      <x:c r="C4" t="n">
        <x:v>101.07</x:v>
      </x:c>
      <x:c r="D4" t="n">
        <x:v>85.93</x:v>
      </x:c>
      <x:c r="E4" t="n">
        <x:v>109.8</x:v>
      </x:c>
      <x:c r="F4" t="str">
        <x:v>Medium</x:v>
      </x:c>
      <x:c r="G4" t="str">
        <x:v>Economic conditions for demand adjustment</x:v>
      </x:c>
    </x:row>
    <x:row r="5">
      <x:c r="A5" t="n">
        <x:v>45383</x:v>
      </x:c>
      <x:c r="B5" t="n">
        <x:v>8.28</x:v>
      </x:c>
      <x:c r="C5" t="n">
        <x:v>101.7</x:v>
      </x:c>
      <x:c r="D5" t="n">
        <x:v>86.43</x:v>
      </x:c>
      <x:c r="E5" t="n">
        <x:v>110.2</x:v>
      </x:c>
      <x:c r="F5" t="str">
        <x:v>Medium</x:v>
      </x:c>
      <x:c r="G5" t="str">
        <x:v>Economic conditions for demand adjustment</x:v>
      </x:c>
    </x:row>
    <x:row r="6">
      <x:c r="A6" t="n">
        <x:v>45413</x:v>
      </x:c>
      <x:c r="B6" t="n">
        <x:v>8.57</x:v>
      </x:c>
      <x:c r="C6" t="n">
        <x:v>101.06</x:v>
      </x:c>
      <x:c r="D6" t="n">
        <x:v>85.75</x:v>
      </x:c>
      <x:c r="E6" t="n">
        <x:v>110.6</x:v>
      </x:c>
      <x:c r="F6" t="str">
        <x:v>Medium</x:v>
      </x:c>
      <x:c r="G6" t="str">
        <x:v>Economic conditions for demand adjustment</x:v>
      </x:c>
    </x:row>
    <x:row r="7">
      <x:c r="A7" t="n">
        <x:v>45444</x:v>
      </x:c>
      <x:c r="B7" t="n">
        <x:v>8.71</x:v>
      </x:c>
      <x:c r="C7" t="n">
        <x:v>101.03</x:v>
      </x:c>
      <x:c r="D7" t="n">
        <x:v>85.5</x:v>
      </x:c>
      <x:c r="E7" t="n">
        <x:v>111</x:v>
      </x:c>
      <x:c r="F7" t="str">
        <x:v>Medium</x:v>
      </x:c>
      <x:c r="G7" t="str">
        <x:v>Economic conditions for demand adjustment</x:v>
      </x:c>
    </x:row>
    <x:row r="8">
      <x:c r="A8" t="n">
        <x:v>45474</x:v>
      </x:c>
      <x:c r="B8" t="n">
        <x:v>8.88</x:v>
      </x:c>
      <x:c r="C8" t="n">
        <x:v>102.06</x:v>
      </x:c>
      <x:c r="D8" t="n">
        <x:v>85.53</x:v>
      </x:c>
      <x:c r="E8" t="n">
        <x:v>111.4</x:v>
      </x:c>
      <x:c r="F8" t="str">
        <x:v>Medium</x:v>
      </x:c>
      <x:c r="G8" t="str">
        <x:v>Economic conditions for demand adjustment</x:v>
      </x:c>
    </x:row>
    <x:row r="9">
      <x:c r="A9" t="n">
        <x:v>45505</x:v>
      </x:c>
      <x:c r="B9" t="n">
        <x:v>8.37</x:v>
      </x:c>
      <x:c r="C9" t="n">
        <x:v>102.12</x:v>
      </x:c>
      <x:c r="D9" t="n">
        <x:v>86.42</x:v>
      </x:c>
      <x:c r="E9" t="n">
        <x:v>111.8</x:v>
      </x:c>
      <x:c r="F9" t="str">
        <x:v>Medium</x:v>
      </x:c>
      <x:c r="G9" t="str">
        <x:v>Economic conditions for demand adjustment</x:v>
      </x:c>
    </x:row>
    <x:row r="10">
      <x:c r="A10" t="n">
        <x:v>45536</x:v>
      </x:c>
      <x:c r="B10" t="n">
        <x:v>7.78</x:v>
      </x:c>
      <x:c r="C10" t="n">
        <x:v>103.12</x:v>
      </x:c>
      <x:c r="D10" t="n">
        <x:v>87.71</x:v>
      </x:c>
      <x:c r="E10" t="n">
        <x:v>112.2</x:v>
      </x:c>
      <x:c r="F10" t="str">
        <x:v>Medium</x:v>
      </x:c>
      <x:c r="G10" t="str">
        <x:v>Economic conditions for demand adjustment</x:v>
      </x:c>
    </x:row>
    <x:row r="11">
      <x:c r="A11" t="n">
        <x:v>45566</x:v>
      </x:c>
      <x:c r="B11" t="n">
        <x:v>7.47</x:v>
      </x:c>
      <x:c r="C11" t="n">
        <x:v>102.01</x:v>
      </x:c>
      <x:c r="D11" t="n">
        <x:v>87.91</x:v>
      </x:c>
      <x:c r="E11" t="n">
        <x:v>112.6</x:v>
      </x:c>
      <x:c r="F11" t="str">
        <x:v>Low</x:v>
      </x:c>
      <x:c r="G11" t="str">
        <x:v>Economic conditions for demand adjustment</x:v>
      </x:c>
    </x:row>
    <x:row r="12">
      <x:c r="A12" t="n">
        <x:v>45597</x:v>
      </x:c>
      <x:c r="B12" t="n">
        <x:v>7.44</x:v>
      </x:c>
      <x:c r="C12" t="n">
        <x:v>103.79</x:v>
      </x:c>
      <x:c r="D12" t="n">
        <x:v>88.5</x:v>
      </x:c>
      <x:c r="E12" t="n">
        <x:v>113</x:v>
      </x:c>
      <x:c r="F12" t="str">
        <x:v>Low</x:v>
      </x:c>
      <x:c r="G12" t="str">
        <x:v>Economic conditions for demand adjustment</x:v>
      </x:c>
    </x:row>
    <x:row r="13">
      <x:c r="A13" t="n">
        <x:v>45627</x:v>
      </x:c>
      <x:c r="B13" t="n">
        <x:v>7</x:v>
      </x:c>
      <x:c r="C13" t="n">
        <x:v>102.53</x:v>
      </x:c>
      <x:c r="D13" t="n">
        <x:v>88.85</x:v>
      </x:c>
      <x:c r="E13" t="n">
        <x:v>113.4</x:v>
      </x:c>
      <x:c r="F13" t="str">
        <x:v>Low</x:v>
      </x:c>
      <x:c r="G13" t="str">
        <x:v>Economic conditions for demand adjustment</x:v>
      </x:c>
    </x:row>
    <x:row r="14">
      <x:c r="A14" t="n">
        <x:v>45658</x:v>
      </x:c>
      <x:c r="B14" t="n">
        <x:v>6.74</x:v>
      </x:c>
      <x:c r="C14" t="n">
        <x:v>102.61</x:v>
      </x:c>
      <x:c r="D14" t="n">
        <x:v>89.33</x:v>
      </x:c>
      <x:c r="E14" t="n">
        <x:v>113.8</x:v>
      </x:c>
      <x:c r="F14" t="str">
        <x:v>Low</x:v>
      </x:c>
      <x:c r="G14" t="str">
        <x:v>Economic conditions for demand adjustment</x:v>
      </x:c>
    </x:row>
    <x:row r="15">
      <x:c r="A15" t="n">
        <x:v>45689</x:v>
      </x:c>
      <x:c r="B15" t="n">
        <x:v>6.6</x:v>
      </x:c>
      <x:c r="C15" t="n">
        <x:v>102.92</x:v>
      </x:c>
      <x:c r="D15" t="n">
        <x:v>89.66</x:v>
      </x:c>
      <x:c r="E15" t="n">
        <x:v>114.2</x:v>
      </x:c>
      <x:c r="F15" t="str">
        <x:v>Low</x:v>
      </x:c>
      <x:c r="G15" t="str">
        <x:v>Economic conditions for demand adjustment</x:v>
      </x:c>
    </x:row>
    <x:row r="16">
      <x:c r="A16" t="n">
        <x:v>45717</x:v>
      </x:c>
      <x:c r="B16" t="n">
        <x:v>6.03</x:v>
      </x:c>
      <x:c r="C16" t="n">
        <x:v>103.93</x:v>
      </x:c>
      <x:c r="D16" t="n">
        <x:v>90.93</x:v>
      </x:c>
      <x:c r="E16" t="n">
        <x:v>114.6</x:v>
      </x:c>
      <x:c r="F16" t="str">
        <x:v>Low</x:v>
      </x:c>
      <x:c r="G16" t="str">
        <x:v>Economic conditions for demand adjustment</x:v>
      </x:c>
    </x:row>
    <x:row r="17">
      <x:c r="A17" t="n">
        <x:v>45748</x:v>
      </x:c>
      <x:c r="B17" t="n">
        <x:v>6.6</x:v>
      </x:c>
      <x:c r="C17" t="n">
        <x:v>103.86</x:v>
      </x:c>
      <x:c r="D17" t="n">
        <x:v>89.93</x:v>
      </x:c>
      <x:c r="E17" t="n">
        <x:v>115</x:v>
      </x:c>
      <x:c r="F17" t="str">
        <x:v>Low</x:v>
      </x:c>
      <x:c r="G17" t="str">
        <x:v>Economic conditions for demand adjustment</x:v>
      </x:c>
    </x:row>
    <x:row r="18">
      <x:c r="A18" t="n">
        <x:v>45778</x:v>
      </x:c>
      <x:c r="B18" t="n">
        <x:v>6.8</x:v>
      </x:c>
      <x:c r="C18" t="n">
        <x:v>103.87</x:v>
      </x:c>
      <x:c r="D18" t="n">
        <x:v>89.6</x:v>
      </x:c>
      <x:c r="E18" t="n">
        <x:v>115.4</x:v>
      </x:c>
      <x:c r="F18" t="str">
        <x:v>Low</x:v>
      </x:c>
      <x:c r="G18" t="str">
        <x:v>Economic conditions for demand adjustment</x:v>
      </x:c>
    </x:row>
    <x:row r="19">
      <x:c r="A19" t="n">
        <x:v>45809</x:v>
      </x:c>
      <x:c r="B19" t="n">
        <x:v>6.99</x:v>
      </x:c>
      <x:c r="C19" t="n">
        <x:v>105.53</x:v>
      </x:c>
      <x:c r="D19" t="n">
        <x:v>89.78</x:v>
      </x:c>
      <x:c r="E19" t="n">
        <x:v>115.8</x:v>
      </x:c>
      <x:c r="F19" t="str">
        <x:v>Low</x:v>
      </x:c>
      <x:c r="G19" t="str">
        <x:v>Economic conditions for demand adjustment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2" hidden="0" customWidth="1"/>
    <x:col min="10" max="10" width="34" hidden="0" customWidth="1"/>
  </x:cols>
  <x:sheetData>
    <x:row r="1">
      <x:c r="A1" s="16" t="str">
        <x:v>Supplier</x:v>
      </x:c>
      <x:c r="B1" s="16" t="str">
        <x:v>SupplierCountry</x:v>
      </x:c>
      <x:c r="C1" s="16" t="str">
        <x:v>OrderDate</x:v>
      </x:c>
      <x:c r="D1" s="16" t="str">
        <x:v>PurchaseLeadDays</x:v>
      </x:c>
      <x:c r="E1" s="16" t="str">
        <x:v>ProductionLeadDays</x:v>
      </x:c>
      <x:c r="F1" s="16" t="str">
        <x:v>ShippingLeadDays</x:v>
      </x:c>
      <x:c r="G1" s="16" t="str">
        <x:v>DeliveryLeadDays</x:v>
      </x:c>
      <x:c r="H1" s="16" t="str">
        <x:v>TotalLeadTimeDays</x:v>
      </x:c>
      <x:c r="I1" s="16" t="str">
        <x:v>DelayFlag</x:v>
      </x:c>
      <x:c r="J1" s="16" t="str">
        <x:v>DelayReason</x:v>
      </x:c>
    </x:row>
    <x:row r="2">
      <x:c r="A2" t="str">
        <x:v>Supplier A</x:v>
      </x:c>
      <x:c r="B2" t="str">
        <x:v>Bangladesh</x:v>
      </x:c>
      <x:c r="C2" t="n">
        <x:v>45505</x:v>
      </x:c>
      <x:c r="D2" t="n">
        <x:v>5</x:v>
      </x:c>
      <x:c r="E2" t="n">
        <x:v>8</x:v>
      </x:c>
      <x:c r="F2" t="n">
        <x:v>7</x:v>
      </x:c>
      <x:c r="G2" t="n">
        <x:v>2</x:v>
      </x:c>
      <x:c r="H2" t="n">
        <x:v>22</x:v>
      </x:c>
      <x:c r="I2" t="str">
        <x:v>No</x:v>
      </x:c>
      <x:c r="J2" t="str"/>
    </x:row>
    <x:row r="3">
      <x:c r="A3" t="str">
        <x:v>Supplier B</x:v>
      </x:c>
      <x:c r="B3" t="str">
        <x:v>China</x:v>
      </x:c>
      <x:c r="C3" t="n">
        <x:v>45535</x:v>
      </x:c>
      <x:c r="D3" t="n">
        <x:v>5</x:v>
      </x:c>
      <x:c r="E3" t="n">
        <x:v>10</x:v>
      </x:c>
      <x:c r="F3" t="n">
        <x:v>6</x:v>
      </x:c>
      <x:c r="G3" t="n">
        <x:v>1</x:v>
      </x:c>
      <x:c r="H3" t="n">
        <x:v>22</x:v>
      </x:c>
      <x:c r="I3" t="str">
        <x:v>No</x:v>
      </x:c>
      <x:c r="J3" t="str"/>
    </x:row>
    <x:row r="4">
      <x:c r="A4" t="str">
        <x:v>Supplier C</x:v>
      </x:c>
      <x:c r="B4" t="str">
        <x:v>India</x:v>
      </x:c>
      <x:c r="C4" t="n">
        <x:v>45565</x:v>
      </x:c>
      <x:c r="D4" t="n">
        <x:v>6</x:v>
      </x:c>
      <x:c r="E4" t="n">
        <x:v>10</x:v>
      </x:c>
      <x:c r="F4" t="n">
        <x:v>3</x:v>
      </x:c>
      <x:c r="G4" t="n">
        <x:v>5</x:v>
      </x:c>
      <x:c r="H4" t="n">
        <x:v>24</x:v>
      </x:c>
      <x:c r="I4" t="str">
        <x:v>No</x:v>
      </x:c>
      <x:c r="J4" t="str"/>
    </x:row>
    <x:row r="5">
      <x:c r="A5" t="str">
        <x:v>Supplier D</x:v>
      </x:c>
      <x:c r="B5" t="str">
        <x:v>Vietnam</x:v>
      </x:c>
      <x:c r="C5" t="n">
        <x:v>45595</x:v>
      </x:c>
      <x:c r="D5" t="n">
        <x:v>2</x:v>
      </x:c>
      <x:c r="E5" t="n">
        <x:v>7</x:v>
      </x:c>
      <x:c r="F5" t="n">
        <x:v>5</x:v>
      </x:c>
      <x:c r="G5" t="n">
        <x:v>5</x:v>
      </x:c>
      <x:c r="H5" t="n">
        <x:v>19</x:v>
      </x:c>
      <x:c r="I5" t="str">
        <x:v>No</x:v>
      </x:c>
      <x:c r="J5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2" hidden="0" customWidth="1"/>
    <x:col min="7" max="7" width="42" hidden="0" customWidth="1"/>
  </x:cols>
  <x:sheetData>
    <x:row r="1">
      <x:c r="A1" s="16" t="str">
        <x:v>Month</x:v>
      </x:c>
      <x:c r="B1" s="16" t="str">
        <x:v>ForecastUnits</x:v>
      </x:c>
      <x:c r="C1" s="16" t="str">
        <x:v>ActualUnits</x:v>
      </x:c>
      <x:c r="D1" s="16" t="str">
        <x:v>ForecastError</x:v>
      </x:c>
      <x:c r="E1" s="16" t="str">
        <x:v>AbsoluteError</x:v>
      </x:c>
      <x:c r="F1" s="16" t="str">
        <x:v>APE</x:v>
      </x:c>
      <x:c r="G1" s="16" t="str">
        <x:v>Notes</x:v>
      </x:c>
    </x:row>
    <x:row r="2">
      <x:c r="A2" t="n">
        <x:v>45474</x:v>
      </x:c>
      <x:c r="B2" t="n">
        <x:v>2850</x:v>
      </x:c>
      <x:c r="C2" t="n">
        <x:v>3425</x:v>
      </x:c>
      <x:c r="D2" t="n">
        <x:f>C2-B2</x:f>
        <x:v>575</x:v>
      </x:c>
      <x:c r="E2" t="n">
        <x:f>ABS(D2)</x:f>
        <x:v>575</x:v>
      </x:c>
      <x:c r="F2" s="22" t="n">
        <x:f>IFERROR(E2/C2,0)</x:f>
        <x:v>0.1678832116788321</x:v>
      </x:c>
      <x:c r="G2" t="str">
        <x:v>Formula columns should calculate error and accuracy</x:v>
      </x:c>
    </x:row>
    <x:row r="3">
      <x:c r="A3" t="n">
        <x:v>45505</x:v>
      </x:c>
      <x:c r="B3" t="n">
        <x:v>2423</x:v>
      </x:c>
      <x:c r="C3" t="n">
        <x:v>2438</x:v>
      </x:c>
      <x:c r="D3" t="n">
        <x:f>C3-B3</x:f>
        <x:v>15</x:v>
      </x:c>
      <x:c r="E3" t="n">
        <x:f>ABS(D3)</x:f>
        <x:v>15</x:v>
      </x:c>
      <x:c r="F3" s="22" t="n">
        <x:f>IFERROR(E3/C3,0)</x:f>
        <x:v>0.0061525840853158325</x:v>
      </x:c>
      <x:c r="G3" t="str">
        <x:v>Formula columns should calculate error and accuracy</x:v>
      </x:c>
    </x:row>
    <x:row r="4">
      <x:c r="A4" t="n">
        <x:v>45536</x:v>
      </x:c>
      <x:c r="B4" t="n">
        <x:v>2586</x:v>
      </x:c>
      <x:c r="C4" t="n">
        <x:v>2994</x:v>
      </x:c>
      <x:c r="D4" t="n">
        <x:f>C4-B4</x:f>
        <x:v>408</x:v>
      </x:c>
      <x:c r="E4" t="n">
        <x:f>ABS(D4)</x:f>
        <x:v>408</x:v>
      </x:c>
      <x:c r="F4" s="22" t="n">
        <x:f>IFERROR(E4/C4,0)</x:f>
        <x:v>0.13627254509018036</x:v>
      </x:c>
      <x:c r="G4" t="str">
        <x:v>Formula columns should calculate error and accuracy</x:v>
      </x:c>
    </x:row>
    <x:row r="5">
      <x:c r="A5" t="n">
        <x:v>45566</x:v>
      </x:c>
      <x:c r="B5" t="n">
        <x:v>2661</x:v>
      </x:c>
      <x:c r="C5" t="n">
        <x:v>2771</x:v>
      </x:c>
      <x:c r="D5" t="n">
        <x:f>C5-B5</x:f>
        <x:v>110</x:v>
      </x:c>
      <x:c r="E5" t="n">
        <x:f>ABS(D5)</x:f>
        <x:v>110</x:v>
      </x:c>
      <x:c r="F5" s="22" t="n">
        <x:f>IFERROR(E5/C5,0)</x:f>
        <x:v>0.039696860339227716</x:v>
      </x:c>
      <x:c r="G5" t="str">
        <x:v>Formula columns should calculate error and accuracy</x:v>
      </x:c>
    </x:row>
    <x:row r="6">
      <x:c r="A6" t="n">
        <x:v>45597</x:v>
      </x:c>
      <x:c r="B6" t="n">
        <x:v>2532</x:v>
      </x:c>
      <x:c r="C6" t="n">
        <x:v>2279</x:v>
      </x:c>
      <x:c r="D6" t="n">
        <x:f>C6-B6</x:f>
        <x:v>-253</x:v>
      </x:c>
      <x:c r="E6" t="n">
        <x:f>ABS(D6)</x:f>
        <x:v>253</x:v>
      </x:c>
      <x:c r="F6" s="22" t="n">
        <x:f>IFERROR(E6/C6,0)</x:f>
        <x:v>0.11101360245721807</x:v>
      </x:c>
      <x:c r="G6" t="str">
        <x:v>Formula columns should calculate error and accuracy</x:v>
      </x:c>
    </x:row>
    <x:row r="7">
      <x:c r="A7" t="n">
        <x:v>45627</x:v>
      </x:c>
      <x:c r="B7" t="n">
        <x:v>2896</x:v>
      </x:c>
      <x:c r="C7" t="n">
        <x:v>2727</x:v>
      </x:c>
      <x:c r="D7" t="n">
        <x:f>C7-B7</x:f>
        <x:v>-169</x:v>
      </x:c>
      <x:c r="E7" t="n">
        <x:f>ABS(D7)</x:f>
        <x:v>169</x:v>
      </x:c>
      <x:c r="F7" s="22" t="n">
        <x:f>IFERROR(E7/C7,0)</x:f>
        <x:v>0.06197286395306197</x:v>
      </x:c>
      <x:c r="G7" t="str">
        <x:v>Formula columns should calculate error and accuracy</x:v>
      </x:c>
    </x:row>
    <x:row r="8">
      <x:c r="A8" t="n">
        <x:v>45658</x:v>
      </x:c>
      <x:c r="B8" t="n">
        <x:v>2983</x:v>
      </x:c>
      <x:c r="C8" t="n">
        <x:v>3000</x:v>
      </x:c>
      <x:c r="D8" t="n">
        <x:f>C8-B8</x:f>
        <x:v>17</x:v>
      </x:c>
      <x:c r="E8" t="n">
        <x:f>ABS(D8)</x:f>
        <x:v>17</x:v>
      </x:c>
      <x:c r="F8" s="22" t="n">
        <x:f>IFERROR(E8/C8,0)</x:f>
        <x:v>0.005666666666666667</x:v>
      </x:c>
      <x:c r="G8" t="str">
        <x:v>Formula columns should calculate error and accuracy</x:v>
      </x:c>
    </x:row>
    <x:row r="9">
      <x:c r="A9" t="n">
        <x:v>45689</x:v>
      </x:c>
      <x:c r="B9" t="n">
        <x:v>3018</x:v>
      </x:c>
      <x:c r="C9" t="n">
        <x:v>3070</x:v>
      </x:c>
      <x:c r="D9" t="n">
        <x:f>C9-B9</x:f>
        <x:v>52</x:v>
      </x:c>
      <x:c r="E9" t="n">
        <x:f>ABS(D9)</x:f>
        <x:v>52</x:v>
      </x:c>
      <x:c r="F9" s="22" t="n">
        <x:f>IFERROR(E9/C9,0)</x:f>
        <x:v>0.016938110749185668</x:v>
      </x:c>
      <x:c r="G9" t="str">
        <x:v>Formula columns should calculate error and accuracy</x:v>
      </x:c>
    </x:row>
    <x:row r="10">
      <x:c r="A10" t="n">
        <x:v>45717</x:v>
      </x:c>
      <x:c r="B10" t="n">
        <x:v>3180</x:v>
      </x:c>
      <x:c r="C10" t="n">
        <x:v>2856</x:v>
      </x:c>
      <x:c r="D10" t="n">
        <x:f>C10-B10</x:f>
        <x:v>-324</x:v>
      </x:c>
      <x:c r="E10" t="n">
        <x:f>ABS(D10)</x:f>
        <x:v>324</x:v>
      </x:c>
      <x:c r="F10" s="22" t="n">
        <x:f>IFERROR(E10/C10,0)</x:f>
        <x:v>0.1134453781512605</x:v>
      </x:c>
      <x:c r="G10" t="str">
        <x:v>Formula columns should calculate error and accuracy</x:v>
      </x:c>
    </x:row>
    <x:row r="11">
      <x:c r="A11" t="n">
        <x:v>45748</x:v>
      </x:c>
      <x:c r="B11" t="n">
        <x:v>3314</x:v>
      </x:c>
      <x:c r="C11" t="n">
        <x:v>3726</x:v>
      </x:c>
      <x:c r="D11" t="n">
        <x:f>C11-B11</x:f>
        <x:v>412</x:v>
      </x:c>
      <x:c r="E11" t="n">
        <x:f>ABS(D11)</x:f>
        <x:v>412</x:v>
      </x:c>
      <x:c r="F11" s="22" t="n">
        <x:f>IFERROR(E11/C11,0)</x:f>
        <x:v>0.11057434245840043</x:v>
      </x:c>
      <x:c r="G11" t="str">
        <x:v>Formula columns should calculate error and accuracy</x:v>
      </x:c>
    </x:row>
    <x:row r="12">
      <x:c r="A12" t="n">
        <x:v>45778</x:v>
      </x:c>
      <x:c r="B12" t="n">
        <x:v>2961</x:v>
      </x:c>
      <x:c r="C12" t="n">
        <x:v>2436</x:v>
      </x:c>
      <x:c r="D12" t="n">
        <x:f>C12-B12</x:f>
        <x:v>-525</x:v>
      </x:c>
      <x:c r="E12" t="n">
        <x:f>ABS(D12)</x:f>
        <x:v>525</x:v>
      </x:c>
      <x:c r="F12" s="22" t="n">
        <x:f>IFERROR(E12/C12,0)</x:f>
        <x:v>0.21551724137931033</x:v>
      </x:c>
      <x:c r="G12" t="str">
        <x:v>Formula columns should calculate error and accuracy</x:v>
      </x:c>
    </x:row>
    <x:row r="13">
      <x:c r="A13" t="n">
        <x:v>45809</x:v>
      </x:c>
      <x:c r="B13" t="n">
        <x:v>3115</x:v>
      </x:c>
      <x:c r="C13" t="n">
        <x:v>2845</x:v>
      </x:c>
      <x:c r="D13" t="n">
        <x:f>C13-B13</x:f>
        <x:v>-270</x:v>
      </x:c>
      <x:c r="E13" t="n">
        <x:f>ABS(D13)</x:f>
        <x:v>270</x:v>
      </x:c>
      <x:c r="F13" s="22" t="n">
        <x:f>IFERROR(E13/C13,0)</x:f>
        <x:v>0.09490333919156414</x:v>
      </x:c>
      <x:c r="G13" t="str">
        <x:v>Formula columns should calculate error and accuracy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6" hidden="0" customWidth="1"/>
    <x:col min="5" max="5" width="20" hidden="0" customWidth="1"/>
    <x:col min="6" max="6" width="14" hidden="0" customWidth="1"/>
    <x:col min="7" max="7" width="40" hidden="0" customWidth="1"/>
  </x:cols>
  <x:sheetData>
    <x:row r="1">
      <x:c r="A1" s="16" t="str">
        <x:v>Region</x:v>
      </x:c>
      <x:c r="B1" s="16" t="str">
        <x:v>Latitude</x:v>
      </x:c>
      <x:c r="C1" s="16" t="str">
        <x:v>Longitude</x:v>
      </x:c>
      <x:c r="D1" s="16" t="str">
        <x:v>DemandScore</x:v>
      </x:c>
      <x:c r="E1" s="16" t="str">
        <x:v>ForecastDemandUnits</x:v>
      </x:c>
      <x:c r="F1" s="16" t="str">
        <x:v>DemandLevel</x:v>
      </x:c>
      <x:c r="G1" s="16" t="str">
        <x:v>Notes</x:v>
      </x:c>
    </x:row>
    <x:row r="2">
      <x:c r="A2" t="str">
        <x:v>Dhaka</x:v>
      </x:c>
      <x:c r="B2" t="n">
        <x:v>23.8103</x:v>
      </x:c>
      <x:c r="C2" t="n">
        <x:v>90.4125</x:v>
      </x:c>
      <x:c r="D2" t="n">
        <x:v>75</x:v>
      </x:c>
      <x:c r="E2" t="n">
        <x:v>2083</x:v>
      </x:c>
      <x:c r="F2" t="str">
        <x:v>Medium</x:v>
      </x:c>
      <x:c r="G2" t="str">
        <x:v>Use for Bangladesh/regional demand map</x:v>
      </x:c>
    </x:row>
    <x:row r="3">
      <x:c r="A3" t="str">
        <x:v>Chattogram</x:v>
      </x:c>
      <x:c r="B3" t="n">
        <x:v>22.3569</x:v>
      </x:c>
      <x:c r="C3" t="n">
        <x:v>91.7832</x:v>
      </x:c>
      <x:c r="D3" t="n">
        <x:v>89</x:v>
      </x:c>
      <x:c r="E3" t="n">
        <x:v>2750</x:v>
      </x:c>
      <x:c r="F3" t="str">
        <x:v>High</x:v>
      </x:c>
      <x:c r="G3" t="str">
        <x:v>Use for Bangladesh/regional demand map</x:v>
      </x:c>
    </x:row>
    <x:row r="4">
      <x:c r="A4" t="str">
        <x:v>Sylhet</x:v>
      </x:c>
      <x:c r="B4" t="n">
        <x:v>24.8949</x:v>
      </x:c>
      <x:c r="C4" t="n">
        <x:v>91.8687</x:v>
      </x:c>
      <x:c r="D4" t="n">
        <x:v>66</x:v>
      </x:c>
      <x:c r="E4" t="n">
        <x:v>1288</x:v>
      </x:c>
      <x:c r="F4" t="str">
        <x:v>Medium</x:v>
      </x:c>
      <x:c r="G4" t="str">
        <x:v>Use for Bangladesh/regional demand map</x:v>
      </x:c>
    </x:row>
    <x:row r="5">
      <x:c r="A5" t="str">
        <x:v>Rajshahi</x:v>
      </x:c>
      <x:c r="B5" t="n">
        <x:v>24.3745</x:v>
      </x:c>
      <x:c r="C5" t="n">
        <x:v>88.6042</x:v>
      </x:c>
      <x:c r="D5" t="n">
        <x:v>87</x:v>
      </x:c>
      <x:c r="E5" t="n">
        <x:v>2122</x:v>
      </x:c>
      <x:c r="F5" t="str">
        <x:v>High</x:v>
      </x:c>
      <x:c r="G5" t="str">
        <x:v>Use for Bangladesh/regional demand map</x:v>
      </x:c>
    </x:row>
    <x:row r="6">
      <x:c r="A6" t="str">
        <x:v>Khulna</x:v>
      </x:c>
      <x:c r="B6" t="n">
        <x:v>22.8456</x:v>
      </x:c>
      <x:c r="C6" t="n">
        <x:v>89.5403</x:v>
      </x:c>
      <x:c r="D6" t="n">
        <x:v>92</x:v>
      </x:c>
      <x:c r="E6" t="n">
        <x:v>2664</x:v>
      </x:c>
      <x:c r="F6" t="str">
        <x:v>High</x:v>
      </x:c>
      <x:c r="G6" t="str">
        <x:v>Use for Bangladesh/regional demand map</x:v>
      </x:c>
    </x:row>
    <x:row r="7">
      <x:c r="A7" t="str">
        <x:v>Barishal</x:v>
      </x:c>
      <x:c r="B7" t="n">
        <x:v>22.701</x:v>
      </x:c>
      <x:c r="C7" t="n">
        <x:v>90.3535</x:v>
      </x:c>
      <x:c r="D7" t="n">
        <x:v>51</x:v>
      </x:c>
      <x:c r="E7" t="n">
        <x:v>1131</x:v>
      </x:c>
      <x:c r="F7" t="str">
        <x:v>Low</x:v>
      </x:c>
      <x:c r="G7" t="str">
        <x:v>Use for Bangladesh/regional demand map</x:v>
      </x:c>
    </x:row>
    <x:row r="8">
      <x:c r="A8" t="str">
        <x:v>Rangpur</x:v>
      </x:c>
      <x:c r="B8" t="n">
        <x:v>25.7439</x:v>
      </x:c>
      <x:c r="C8" t="n">
        <x:v>89.2752</x:v>
      </x:c>
      <x:c r="D8" t="n">
        <x:v>60</x:v>
      </x:c>
      <x:c r="E8" t="n">
        <x:v>1497</x:v>
      </x:c>
      <x:c r="F8" t="str">
        <x:v>Medium</x:v>
      </x:c>
      <x:c r="G8" t="str">
        <x:v>Use for Bangladesh/regional demand map</x:v>
      </x:c>
    </x:row>
    <x:row r="9">
      <x:c r="A9" t="str">
        <x:v>Mymensingh</x:v>
      </x:c>
      <x:c r="B9" t="n">
        <x:v>24.7471</x:v>
      </x:c>
      <x:c r="C9" t="n">
        <x:v>90.4203</x:v>
      </x:c>
      <x:c r="D9" t="n">
        <x:v>48</x:v>
      </x:c>
      <x:c r="E9" t="n">
        <x:v>1543</x:v>
      </x:c>
      <x:c r="F9" t="str">
        <x:v>Low</x:v>
      </x:c>
      <x:c r="G9" t="str">
        <x:v>Use for Bangladesh/regional demand map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22" hidden="0" customWidth="1"/>
    <x:col min="4" max="4" width="16" hidden="0" customWidth="1"/>
    <x:col min="5" max="5" width="12" hidden="0" customWidth="1"/>
    <x:col min="6" max="6" width="12" hidden="0" customWidth="1"/>
    <x:col min="7" max="7" width="12" hidden="0" customWidth="1"/>
    <x:col min="8" max="8" width="16" hidden="0" customWidth="1"/>
    <x:col min="9" max="9" width="12" hidden="0" customWidth="1"/>
    <x:col min="10" max="10" width="44" hidden="0" customWidth="1"/>
  </x:cols>
  <x:sheetData>
    <x:row r="1">
      <x:c r="A1" s="16" t="str">
        <x:v>NodeID</x:v>
      </x:c>
      <x:c r="B1" s="16" t="str">
        <x:v>NodeType</x:v>
      </x:c>
      <x:c r="C1" s="16" t="str">
        <x:v>Name</x:v>
      </x:c>
      <x:c r="D1" s="16" t="str">
        <x:v>Region</x:v>
      </x:c>
      <x:c r="E1" s="16" t="str">
        <x:v>Latitude</x:v>
      </x:c>
      <x:c r="F1" s="16" t="str">
        <x:v>Longitude</x:v>
      </x:c>
      <x:c r="G1" s="16" t="str">
        <x:v>NextNodeID</x:v>
      </x:c>
      <x:c r="H1" s="16" t="str">
        <x:v>AvgTransitDays</x:v>
      </x:c>
      <x:c r="I1" s="16" t="str">
        <x:v>RiskLevel</x:v>
      </x:c>
      <x:c r="J1" s="16" t="str">
        <x:v>Notes</x:v>
      </x:c>
    </x:row>
    <x:row r="2">
      <x:c r="A2" t="str">
        <x:v>S1</x:v>
      </x:c>
      <x:c r="B2" t="str">
        <x:v>Supplier</x:v>
      </x:c>
      <x:c r="C2" t="str">
        <x:v>Main Supplier</x:v>
      </x:c>
      <x:c r="D2" t="str">
        <x:v>Chattogram</x:v>
      </x:c>
      <x:c r="E2" t="n">
        <x:v>22.3569</x:v>
      </x:c>
      <x:c r="F2" t="n">
        <x:v>91.7832</x:v>
      </x:c>
      <x:c r="G2" t="str">
        <x:v>W1</x:v>
      </x:c>
      <x:c r="H2" t="n">
        <x:v>6</x:v>
      </x:c>
      <x:c r="I2" t="str">
        <x:v>Medium</x:v>
      </x:c>
      <x:c r="J2" t="str">
        <x:v>Use for SCM flow map supplier → warehouse → retailer → customer</x:v>
      </x:c>
    </x:row>
    <x:row r="3">
      <x:c r="A3" t="str">
        <x:v>W1</x:v>
      </x:c>
      <x:c r="B3" t="str">
        <x:v>Warehouse</x:v>
      </x:c>
      <x:c r="C3" t="str">
        <x:v>Central Warehouse</x:v>
      </x:c>
      <x:c r="D3" t="str">
        <x:v>Dhaka</x:v>
      </x:c>
      <x:c r="E3" t="n">
        <x:v>23.8103</x:v>
      </x:c>
      <x:c r="F3" t="n">
        <x:v>90.4125</x:v>
      </x:c>
      <x:c r="G3" t="str">
        <x:v>R1</x:v>
      </x:c>
      <x:c r="H3" t="n">
        <x:v>2</x:v>
      </x:c>
      <x:c r="I3" t="str">
        <x:v>Low</x:v>
      </x:c>
      <x:c r="J3" t="str">
        <x:v>Use for SCM flow map supplier → warehouse → retailer → customer</x:v>
      </x:c>
    </x:row>
    <x:row r="4">
      <x:c r="A4" t="str">
        <x:v>R1</x:v>
      </x:c>
      <x:c r="B4" t="str">
        <x:v>Retailer</x:v>
      </x:c>
      <x:c r="C4" t="str">
        <x:v>Retail Network</x:v>
      </x:c>
      <x:c r="D4" t="str">
        <x:v>Dhaka</x:v>
      </x:c>
      <x:c r="E4" t="n">
        <x:v>23.7806</x:v>
      </x:c>
      <x:c r="F4" t="n">
        <x:v>90.2794</x:v>
      </x:c>
      <x:c r="G4" t="str">
        <x:v>C1</x:v>
      </x:c>
      <x:c r="H4" t="n">
        <x:v>1</x:v>
      </x:c>
      <x:c r="I4" t="str">
        <x:v>Low</x:v>
      </x:c>
      <x:c r="J4" t="str">
        <x:v>Use for SCM flow map supplier → warehouse → retailer → customer</x:v>
      </x:c>
    </x:row>
    <x:row r="5">
      <x:c r="A5" t="str">
        <x:v>C1</x:v>
      </x:c>
      <x:c r="B5" t="str">
        <x:v>Customer</x:v>
      </x:c>
      <x:c r="C5" t="str">
        <x:v>End Customer Zone</x:v>
      </x:c>
      <x:c r="D5" t="str">
        <x:v>Dhaka</x:v>
      </x:c>
      <x:c r="E5" t="n">
        <x:v>23.7465</x:v>
      </x:c>
      <x:c r="F5" t="n">
        <x:v>90.376</x:v>
      </x:c>
      <x:c r="G5" t="str"/>
      <x:c r="H5" t="n">
        <x:v>0</x:v>
      </x:c>
      <x:c r="I5" t="str">
        <x:v>Low</x:v>
      </x:c>
      <x:c r="J5" t="str">
        <x:v>Use for SCM flow map supplier → warehouse → retailer → customer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8" hidden="0" customWidth="1"/>
    <x:col min="4" max="4" width="18" hidden="0" customWidth="1"/>
    <x:col min="5" max="5" width="16" hidden="0" customWidth="1"/>
    <x:col min="6" max="6" width="20" hidden="0" customWidth="1"/>
    <x:col min="7" max="7" width="44" hidden="0" customWidth="1"/>
  </x:cols>
  <x:sheetData>
    <x:row r="1">
      <x:c r="A1" s="16" t="str">
        <x:v>CustomerSegment</x:v>
      </x:c>
      <x:c r="B1" s="16" t="str">
        <x:v>Region</x:v>
      </x:c>
      <x:c r="C1" s="16" t="str">
        <x:v>PreferredChannel</x:v>
      </x:c>
      <x:c r="D1" s="16" t="str">
        <x:v>PurchaseFrequency</x:v>
      </x:c>
      <x:c r="E1" s="16" t="str">
        <x:v>AvgBasketUnits</x:v>
      </x:c>
      <x:c r="F1" s="16" t="str">
        <x:v>AvgBasketValueBDT</x:v>
      </x:c>
      <x:c r="G1" s="16" t="str">
        <x:v>DemandPatternNote</x:v>
      </x:c>
    </x:row>
    <x:row r="2">
      <x:c r="A2" t="str">
        <x:v>Teen/Youth</x:v>
      </x:c>
      <x:c r="B2" t="str">
        <x:v>Dhaka</x:v>
      </x:c>
      <x:c r="C2" t="str">
        <x:v>Online</x:v>
      </x:c>
      <x:c r="D2" t="str">
        <x:v>Bi-weekly</x:v>
      </x:c>
      <x:c r="E2" t="n">
        <x:v>5</x:v>
      </x:c>
      <x:c r="F2" t="n">
        <x:v>1797</x:v>
      </x:c>
      <x:c r="G2" t="str">
        <x:v>Regular demand</x:v>
      </x:c>
    </x:row>
    <x:row r="3">
      <x:c r="A3" t="str">
        <x:v>Working Professionals</x:v>
      </x:c>
      <x:c r="B3" t="str">
        <x:v>Chattogram</x:v>
      </x:c>
      <x:c r="C3" t="str">
        <x:v>Wholesale</x:v>
      </x:c>
      <x:c r="D3" t="str">
        <x:v>Bi-weekly</x:v>
      </x:c>
      <x:c r="E3" t="n">
        <x:v>9</x:v>
      </x:c>
      <x:c r="F3" t="n">
        <x:v>3961</x:v>
      </x:c>
      <x:c r="G3" t="str">
        <x:v>Regular demand</x:v>
      </x:c>
    </x:row>
    <x:row r="4">
      <x:c r="A4" t="str">
        <x:v>Families</x:v>
      </x:c>
      <x:c r="B4" t="str">
        <x:v>Sylhet</x:v>
      </x:c>
      <x:c r="C4" t="str">
        <x:v>Modern Trade</x:v>
      </x:c>
      <x:c r="D4" t="str">
        <x:v>Monthly</x:v>
      </x:c>
      <x:c r="E4" t="n">
        <x:v>8</x:v>
      </x:c>
      <x:c r="F4" t="n">
        <x:v>4653</x:v>
      </x:c>
      <x:c r="G4" t="str">
        <x:v>Regular demand</x:v>
      </x:c>
    </x:row>
    <x:row r="5">
      <x:c r="A5" t="str">
        <x:v>Retail Buyers</x:v>
      </x:c>
      <x:c r="B5" t="str">
        <x:v>Rajshahi</x:v>
      </x:c>
      <x:c r="C5" t="str">
        <x:v>Retail</x:v>
      </x:c>
      <x:c r="D5" t="str">
        <x:v>Weekly</x:v>
      </x:c>
      <x:c r="E5" t="n">
        <x:v>2</x:v>
      </x:c>
      <x:c r="F5" t="n">
        <x:v>927</x:v>
      </x:c>
      <x:c r="G5" t="str">
        <x:v>Regular demand</x:v>
      </x:c>
    </x:row>
    <x:row r="6">
      <x:c r="A6" t="str">
        <x:v>Premium Customers</x:v>
      </x:c>
      <x:c r="B6" t="str">
        <x:v>Khulna</x:v>
      </x:c>
      <x:c r="C6" t="str">
        <x:v>Online</x:v>
      </x:c>
      <x:c r="D6" t="str">
        <x:v>Festival-based</x:v>
      </x:c>
      <x:c r="E6" t="n">
        <x:v>2</x:v>
      </x:c>
      <x:c r="F6" t="n">
        <x:v>970</x:v>
      </x:c>
      <x:c r="G6" t="str">
        <x:v>Regular demand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2" hidden="0" customWidth="1"/>
    <x:col min="4" max="4" width="28" hidden="0" customWidth="1"/>
    <x:col min="5" max="5" width="18" hidden="0" customWidth="1"/>
    <x:col min="6" max="6" width="18" hidden="0" customWidth="1"/>
    <x:col min="7" max="7" width="44" hidden="0" customWidth="1"/>
  </x:cols>
  <x:sheetData>
    <x:row r="1">
      <x:c r="A1" s="16" t="str">
        <x:v>SourceType</x:v>
      </x:c>
      <x:c r="B1" s="16" t="str">
        <x:v>Status</x:v>
      </x:c>
      <x:c r="C1" s="16" t="str">
        <x:v>ConnectorType</x:v>
      </x:c>
      <x:c r="D1" s="16" t="str">
        <x:v>FileOrAPI</x:v>
      </x:c>
      <x:c r="E1" s="16" t="str">
        <x:v>RecordsDetected</x:v>
      </x:c>
      <x:c r="F1" s="16" t="str">
        <x:v>DataQualityScore</x:v>
      </x:c>
      <x:c r="G1" s="16" t="str">
        <x:v>Notes</x:v>
      </x:c>
    </x:row>
    <x:row r="2">
      <x:c r="A2" t="str">
        <x:v>CSV Upload</x:v>
      </x:c>
      <x:c r="B2" t="str">
        <x:v>Available</x:v>
      </x:c>
      <x:c r="C2" t="str">
        <x:v>csvConnector</x:v>
      </x:c>
      <x:c r="D2" t="str">
        <x:v>uploaded_sales.csv</x:v>
      </x:c>
      <x:c r="E2" t="n">
        <x:v>65</x:v>
      </x:c>
      <x:c r="F2" t="n">
        <x:v>88</x:v>
      </x:c>
      <x:c r="G2" t="str">
        <x:v>Flat file import</x:v>
      </x:c>
    </x:row>
    <x:row r="3">
      <x:c r="A3" t="str">
        <x:v>Excel Upload</x:v>
      </x:c>
      <x:c r="B3" t="str">
        <x:v>Available</x:v>
      </x:c>
      <x:c r="C3" t="str">
        <x:v>excelConnector</x:v>
      </x:c>
      <x:c r="D3" t="str">
        <x:v>demand_workbook.xlsx</x:v>
      </x:c>
      <x:c r="E3" t="n">
        <x:v>53</x:v>
      </x:c>
      <x:c r="F3" t="n">
        <x:v>77</x:v>
      </x:c>
      <x:c r="G3" t="str">
        <x:v>This workbook</x:v>
      </x:c>
    </x:row>
    <x:row r="4">
      <x:c r="A4" t="str">
        <x:v>JSON Upload</x:v>
      </x:c>
      <x:c r="B4" t="str">
        <x:v>Available</x:v>
      </x:c>
      <x:c r="C4" t="str">
        <x:v>jsonConnector</x:v>
      </x:c>
      <x:c r="D4" t="str">
        <x:v>customer_demand.json</x:v>
      </x:c>
      <x:c r="E4" t="n">
        <x:v>47</x:v>
      </x:c>
      <x:c r="F4" t="n">
        <x:v>78</x:v>
      </x:c>
      <x:c r="G4" t="str">
        <x:v>Nested data import</x:v>
      </x:c>
    </x:row>
    <x:row r="5">
      <x:c r="A5" t="str">
        <x:v>Web Search API</x:v>
      </x:c>
      <x:c r="B5" t="str">
        <x:v>Available if key exists</x:v>
      </x:c>
      <x:c r="C5" t="str">
        <x:v>webSearchConnector</x:v>
      </x:c>
      <x:c r="D5" t="str">
        <x:v>Tavily/SerpAPI/Bing</x:v>
      </x:c>
      <x:c r="E5" t="n">
        <x:v>15</x:v>
      </x:c>
      <x:c r="F5" t="n">
        <x:v>89</x:v>
      </x:c>
      <x:c r="G5" t="str">
        <x:v>Public market research</x:v>
      </x:c>
    </x:row>
    <x:row r="6">
      <x:c r="A6" t="str">
        <x:v>ERP</x:v>
      </x:c>
      <x:c r="B6" t="str">
        <x:v>Placeholder</x:v>
      </x:c>
      <x:c r="C6" t="str">
        <x:v>erpConnector</x:v>
      </x:c>
      <x:c r="D6" t="str">
        <x:v>Future MCP connector</x:v>
      </x:c>
      <x:c r="E6" t="n">
        <x:v>0</x:v>
      </x:c>
      <x:c r="F6"/>
      <x:c r="G6" t="str">
        <x:v>MCP-ready placeholder</x:v>
      </x:c>
    </x:row>
    <x:row r="7">
      <x:c r="A7" t="str">
        <x:v>POS</x:v>
      </x:c>
      <x:c r="B7" t="str">
        <x:v>Placeholder</x:v>
      </x:c>
      <x:c r="C7" t="str">
        <x:v>posConnector</x:v>
      </x:c>
      <x:c r="D7" t="str">
        <x:v>Future MCP connector</x:v>
      </x:c>
      <x:c r="E7" t="n">
        <x:v>0</x:v>
      </x:c>
      <x:c r="F7"/>
      <x:c r="G7" t="str">
        <x:v>MCP-ready placeholder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0" hidden="0" customWidth="1"/>
    <x:col min="3" max="3" width="40" hidden="0" customWidth="1"/>
    <x:col min="4" max="4" width="24" hidden="0" customWidth="1"/>
    <x:col min="5" max="5" width="44" hidden="0" customWidth="1"/>
  </x:cols>
  <x:sheetData>
    <x:row r="1">
      <x:c r="A1" s="16" t="str">
        <x:v>DataNeed</x:v>
      </x:c>
      <x:c r="B1" s="16" t="str">
        <x:v>SearchQuery</x:v>
      </x:c>
      <x:c r="C1" s="16" t="str">
        <x:v>SuggestedUse</x:v>
      </x:c>
      <x:c r="D1" s="16" t="str">
        <x:v>RequiredFor</x:v>
      </x:c>
      <x:c r="E1" s="16" t="str">
        <x:v>ExampleSourceURL</x:v>
      </x:c>
    </x:row>
    <x:row r="2">
      <x:c r="A2" t="str">
        <x:v>Market Trends</x:v>
      </x:c>
      <x:c r="B2" t="str">
        <x:v>Rice 5kg Pran Grocery Bangladesh market trend 2025</x:v>
      </x:c>
      <x:c r="C2" t="str">
        <x:v>Summarize product/category demand direction</x:v>
      </x:c>
      <x:c r="D2" t="str">
        <x:v>Market Trends</x:v>
      </x:c>
      <x:c r="E2" t="str">
        <x:v>https://www.google.com/search?q=market+trend</x:v>
      </x:c>
    </x:row>
    <x:row r="3">
      <x:c r="A3" t="str">
        <x:v>Seasonality</x:v>
      </x:c>
      <x:c r="B3" t="str">
        <x:v>Rice 5kg demand Ramadan Eid Bangladesh</x:v>
      </x:c>
      <x:c r="C3" t="str">
        <x:v>Detect festival demand uplift</x:v>
      </x:c>
      <x:c r="D3" t="str">
        <x:v>Seasonality</x:v>
      </x:c>
      <x:c r="E3" t="str">
        <x:v>https://www.google.com/search?q=Ramadan+Eid+demand</x:v>
      </x:c>
    </x:row>
    <x:row r="4">
      <x:c r="A4" t="str">
        <x:v>Economic Conditions</x:v>
      </x:c>
      <x:c r="B4" t="str">
        <x:v>Bangladesh inflation purchasing power consumer goods 2025</x:v>
      </x:c>
      <x:c r="C4" t="str">
        <x:v>Adjust forecast based on economy</x:v>
      </x:c>
      <x:c r="D4" t="str">
        <x:v>Economic Conditions</x:v>
      </x:c>
      <x:c r="E4" t="str">
        <x:v>https://www.bb.org.bd/</x:v>
      </x:c>
    </x:row>
    <x:row r="5">
      <x:c r="A5" t="str">
        <x:v>Competitor Activities</x:v>
      </x:c>
      <x:c r="B5" t="str">
        <x:v>Grocery competitor pricing promotions Bangladesh Pran</x:v>
      </x:c>
      <x:c r="C5" t="str">
        <x:v>Compare competitor pricing/promo</x:v>
      </x:c>
      <x:c r="D5" t="str">
        <x:v>Competitor Activities</x:v>
      </x:c>
      <x:c r="E5" t="str">
        <x:v>https://www.google.com/search?q=competitor+pricing</x:v>
      </x:c>
    </x:row>
    <x:row r="6">
      <x:c r="A6" t="str">
        <x:v>Customer Demand Patterns</x:v>
      </x:c>
      <x:c r="B6" t="str">
        <x:v>Rice 5kg online retail demand Bangladesh Dhaka Chattogram</x:v>
      </x:c>
      <x:c r="C6" t="str">
        <x:v>Estimate regional/channel demand</x:v>
      </x:c>
      <x:c r="D6" t="str">
        <x:v>Customer Demand Patterns</x:v>
      </x:c>
      <x:c r="E6" t="str">
        <x:v>https://www.google.com/search?q=retail+demand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4" hidden="0" customWidth="1"/>
    <x:col min="4" max="4" width="38" hidden="0" customWidth="1"/>
    <x:col min="5" max="5" width="14" hidden="0" customWidth="1"/>
    <x:col min="6" max="6" width="44" hidden="0" customWidth="1"/>
  </x:cols>
  <x:sheetData>
    <x:row r="1">
      <x:c r="A1" s="16" t="str">
        <x:v>ExpertName</x:v>
      </x:c>
      <x:c r="B1" s="16" t="str">
        <x:v>Role</x:v>
      </x:c>
      <x:c r="C1" s="16" t="str">
        <x:v>OpinionDate</x:v>
      </x:c>
      <x:c r="D1" s="16" t="str">
        <x:v>DemandSignal</x:v>
      </x:c>
      <x:c r="E1" s="16" t="str">
        <x:v>ConfidencePct</x:v>
      </x:c>
      <x:c r="F1" s="16" t="str">
        <x:v>Notes</x:v>
      </x:c>
    </x:row>
    <x:row r="2">
      <x:c r="A2" t="str">
        <x:v>Expert 1</x:v>
      </x:c>
      <x:c r="B2" t="str">
        <x:v>Sales Manager</x:v>
      </x:c>
      <x:c r="C2" t="n">
        <x:v>45536</x:v>
      </x:c>
      <x:c r="D2" t="str">
        <x:v>High demand before Eid</x:v>
      </x:c>
      <x:c r="E2" t="n">
        <x:v>85</x:v>
      </x:c>
      <x:c r="F2" t="str">
        <x:v>Qualitative input for expert-opinion forecasting</x:v>
      </x:c>
    </x:row>
    <x:row r="3">
      <x:c r="A3" t="str">
        <x:v>Expert 2</x:v>
      </x:c>
      <x:c r="B3" t="str">
        <x:v>Demand Planner</x:v>
      </x:c>
      <x:c r="C3" t="n">
        <x:v>45546</x:v>
      </x:c>
      <x:c r="D3" t="str">
        <x:v>Competitor pricing could reduce demand</x:v>
      </x:c>
      <x:c r="E3" t="n">
        <x:v>72</x:v>
      </x:c>
      <x:c r="F3" t="str">
        <x:v>Qualitative input for expert-opinion forecasting</x:v>
      </x:c>
    </x:row>
    <x:row r="4">
      <x:c r="A4" t="str">
        <x:v>Expert 3</x:v>
      </x:c>
      <x:c r="B4" t="str">
        <x:v>Inventory Manager</x:v>
      </x:c>
      <x:c r="C4" t="n">
        <x:v>45556</x:v>
      </x:c>
      <x:c r="D4" t="str">
        <x:v>Online demand rising</x:v>
      </x:c>
      <x:c r="E4" t="n">
        <x:v>82</x:v>
      </x:c>
      <x:c r="F4" t="str">
        <x:v>Qualitative input for expert-opinion forecasting</x:v>
      </x:c>
    </x:row>
    <x:row r="5">
      <x:c r="A5" t="str">
        <x:v>Expert 4</x:v>
      </x:c>
      <x:c r="B5" t="str">
        <x:v>Marketing Lead</x:v>
      </x:c>
      <x:c r="C5" t="n">
        <x:v>45566</x:v>
      </x:c>
      <x:c r="D5" t="str">
        <x:v>Inventory should be increased before campaign</x:v>
      </x:c>
      <x:c r="E5" t="n">
        <x:v>86</x:v>
      </x:c>
      <x:c r="F5" t="str">
        <x:v>Qualitative input for expert-opinion forecasting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5" hidden="0" customWidth="1"/>
    <x:col min="3" max="3" width="48" hidden="0" customWidth="1"/>
  </x:cols>
  <x:sheetData>
    <x:row r="1">
      <x:c r="A1" s="28" t="str">
        <x:v>IssueType</x:v>
      </x:c>
      <x:c r="B1" s="28" t="str">
        <x:v>Description</x:v>
      </x:c>
      <x:c r="C1" s="28" t="str">
        <x:v>ExpectedValidationBehavior</x:v>
      </x:c>
    </x:row>
    <x:row r="2">
      <x:c r="A2" t="str">
        <x:v>Issue 1</x:v>
      </x:c>
      <x:c r="B2" t="str">
        <x:v>Some historical sales months are missing.</x:v>
      </x:c>
      <x:c r="C2" t="str">
        <x:v>Detect, warn user, and continue analysis where possible</x:v>
      </x:c>
    </x:row>
  </x:sheetData>
  <x:pageMargins left="0.7" right="0.7" top="0.75" bottom="0.75" header="0.3" footer="0.3"/>
</x:worksheet>
</file>