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979201aef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74ff713a5e6242e9"/>
    <x:sheet xmlns:r="http://schemas.openxmlformats.org/officeDocument/2006/relationships" name="Historical_Sales" sheetId="2" r:id="R49021a8114834477"/>
    <x:sheet xmlns:r="http://schemas.openxmlformats.org/officeDocument/2006/relationships" name="Inventory" sheetId="3" r:id="Re4601c557dcd4390"/>
    <x:sheet xmlns:r="http://schemas.openxmlformats.org/officeDocument/2006/relationships" name="Promotions" sheetId="4" r:id="Rf73bca95f5be4887"/>
    <x:sheet xmlns:r="http://schemas.openxmlformats.org/officeDocument/2006/relationships" name="Competitors" sheetId="5" r:id="R6f01af076d984b42"/>
    <x:sheet xmlns:r="http://schemas.openxmlformats.org/officeDocument/2006/relationships" name="Economic" sheetId="6" r:id="R5c44d6836c884aa9"/>
    <x:sheet xmlns:r="http://schemas.openxmlformats.org/officeDocument/2006/relationships" name="Lead_Time" sheetId="7" r:id="R517b580a2e53490d"/>
    <x:sheet xmlns:r="http://schemas.openxmlformats.org/officeDocument/2006/relationships" name="Forecast_Actual" sheetId="8" r:id="R2bf94875d64948e6"/>
    <x:sheet xmlns:r="http://schemas.openxmlformats.org/officeDocument/2006/relationships" name="Regional_Demand_Map" sheetId="9" r:id="Rc63d6d66a18b4bb2"/>
    <x:sheet xmlns:r="http://schemas.openxmlformats.org/officeDocument/2006/relationships" name="SCM_Flow_Map" sheetId="10" r:id="R91dfdce598a14540"/>
    <x:sheet xmlns:r="http://schemas.openxmlformats.org/officeDocument/2006/relationships" name="Customer_Patterns" sheetId="11" r:id="Rbefee0c766ae45dc"/>
    <x:sheet xmlns:r="http://schemas.openxmlformats.org/officeDocument/2006/relationships" name="Technology_Data" sheetId="12" r:id="R3cec6f9384434a80"/>
    <x:sheet xmlns:r="http://schemas.openxmlformats.org/officeDocument/2006/relationships" name="Web_Search_Seeds" sheetId="13" r:id="R93feb4276d4940fb"/>
    <x:sheet xmlns:r="http://schemas.openxmlformats.org/officeDocument/2006/relationships" name="Manual_Expert_Opinion" sheetId="14" r:id="R3347e873e7354a04"/>
    <x:sheet xmlns:r="http://schemas.openxmlformats.org/officeDocument/2006/relationships" name="Data_Issues" sheetId="15" r:id="R0d509068ea4c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ee091255742b1" /><Relationship Type="http://schemas.openxmlformats.org/officeDocument/2006/relationships/theme" Target="/xl/theme/theme1.xml" Id="Rc095fdb4c17a41a3" /><Relationship Type="http://schemas.openxmlformats.org/officeDocument/2006/relationships/sharedStrings" Target="/xl/sharedStrings.xml" Id="R8da864f7d64547b3" /><Relationship Type="http://schemas.openxmlformats.org/officeDocument/2006/relationships/worksheet" Target="/xl/worksheets/sheet1.xml" Id="R74ff713a5e6242e9" /><Relationship Type="http://schemas.openxmlformats.org/officeDocument/2006/relationships/worksheet" Target="/xl/worksheets/sheet2.xml" Id="R49021a8114834477" /><Relationship Type="http://schemas.openxmlformats.org/officeDocument/2006/relationships/worksheet" Target="/xl/worksheets/sheet3.xml" Id="Re4601c557dcd4390" /><Relationship Type="http://schemas.openxmlformats.org/officeDocument/2006/relationships/worksheet" Target="/xl/worksheets/sheet4.xml" Id="Rf73bca95f5be4887" /><Relationship Type="http://schemas.openxmlformats.org/officeDocument/2006/relationships/worksheet" Target="/xl/worksheets/sheet5.xml" Id="R6f01af076d984b42" /><Relationship Type="http://schemas.openxmlformats.org/officeDocument/2006/relationships/worksheet" Target="/xl/worksheets/sheet6.xml" Id="R5c44d6836c884aa9" /><Relationship Type="http://schemas.openxmlformats.org/officeDocument/2006/relationships/worksheet" Target="/xl/worksheets/sheet7.xml" Id="R517b580a2e53490d" /><Relationship Type="http://schemas.openxmlformats.org/officeDocument/2006/relationships/worksheet" Target="/xl/worksheets/sheet8.xml" Id="R2bf94875d64948e6" /><Relationship Type="http://schemas.openxmlformats.org/officeDocument/2006/relationships/worksheet" Target="/xl/worksheets/sheet9.xml" Id="Rc63d6d66a18b4bb2" /><Relationship Type="http://schemas.openxmlformats.org/officeDocument/2006/relationships/worksheet" Target="/xl/worksheets/sheet10.xml" Id="R91dfdce598a14540" /><Relationship Type="http://schemas.openxmlformats.org/officeDocument/2006/relationships/worksheet" Target="/xl/worksheets/sheet11.xml" Id="Rbefee0c766ae45dc" /><Relationship Type="http://schemas.openxmlformats.org/officeDocument/2006/relationships/worksheet" Target="/xl/worksheets/sheet12.xml" Id="R3cec6f9384434a80" /><Relationship Type="http://schemas.openxmlformats.org/officeDocument/2006/relationships/worksheet" Target="/xl/worksheets/sheet13.xml" Id="R93feb4276d4940fb" /><Relationship Type="http://schemas.openxmlformats.org/officeDocument/2006/relationships/worksheet" Target="/xl/worksheets/sheet14.xml" Id="R3347e873e7354a04" /><Relationship Type="http://schemas.openxmlformats.org/officeDocument/2006/relationships/worksheet" Target="/xl/worksheets/sheet15.xml" Id="R0d509068ea4c4a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DPF-17</x:v>
      </x:c>
    </x:row>
    <x:row r="3">
      <x:c r="A3" t="str">
        <x:v>Scenario Title</x:v>
      </x:c>
      <x:c r="B3" t="str">
        <x:v>Duplicate Sales Rows</x:v>
      </x:c>
    </x:row>
    <x:row r="4">
      <x:c r="A4" t="str">
        <x:v>Purpose</x:v>
      </x:c>
      <x:c r="B4" t="str">
        <x:v>Test duplicate detection and de-duplication.</x:v>
      </x:c>
    </x:row>
    <x:row r="5">
      <x:c r="A5" t="str">
        <x:v>Product Name</x:v>
      </x:c>
      <x:c r="B5" t="str">
        <x:v>Liquid Handwash</x:v>
      </x:c>
    </x:row>
    <x:row r="6">
      <x:c r="A6" t="str">
        <x:v>Category</x:v>
      </x:c>
      <x:c r="B6" t="str">
        <x:v>Personal Care</x:v>
      </x:c>
    </x:row>
    <x:row r="7">
      <x:c r="A7" t="str">
        <x:v>Brand</x:v>
      </x:c>
      <x:c r="B7" t="str">
        <x:v>Lifebuoy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Historical Sales, Data Quality</x:v>
      </x:c>
    </x:row>
    <x:row r="11">
      <x:c r="A11" t="str">
        <x:v>Recommended Inputs To Tick</x:v>
      </x:c>
      <x:c r="B11" t="str">
        <x:v>Historical Sales Data</x:v>
      </x:c>
    </x:row>
    <x:row r="12">
      <x:c r="A12" t="str">
        <x:v>Recommended Outputs To Tick</x:v>
      </x:c>
      <x:c r="B12" t="str">
        <x:v>Sales Trend Analysis, Data Quality Score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Liquid Handwash</x:v>
      </x:c>
      <x:c r="C2" t="str">
        <x:v>Personal Care</x:v>
      </x:c>
      <x:c r="D2" t="str">
        <x:v>Lifebuoy</x:v>
      </x:c>
      <x:c r="E2" t="str">
        <x:v>Dhaka</x:v>
      </x:c>
      <x:c r="F2" t="str">
        <x:v>Retail</x:v>
      </x:c>
      <x:c r="G2" t="n">
        <x:v>1585</x:v>
      </x:c>
      <x:c r="H2" t="n">
        <x:v>210</x:v>
      </x:c>
      <x:c r="I2" t="n">
        <x:v>332850</x:v>
      </x:c>
      <x:c r="J2" t="str"/>
    </x:row>
    <x:row r="3">
      <x:c r="A3" t="n">
        <x:v>45323</x:v>
      </x:c>
      <x:c r="B3" t="str">
        <x:v>Liquid Handwash</x:v>
      </x:c>
      <x:c r="C3" t="str">
        <x:v>Personal Care</x:v>
      </x:c>
      <x:c r="D3" t="str">
        <x:v>Lifebuoy</x:v>
      </x:c>
      <x:c r="E3" t="str">
        <x:v>Chattogram</x:v>
      </x:c>
      <x:c r="F3" t="str">
        <x:v>Online</x:v>
      </x:c>
      <x:c r="G3" t="n">
        <x:v>1456</x:v>
      </x:c>
      <x:c r="H3" t="n">
        <x:v>210</x:v>
      </x:c>
      <x:c r="I3" t="n">
        <x:v>305760</x:v>
      </x:c>
      <x:c r="J3" t="str"/>
    </x:row>
    <x:row r="4">
      <x:c r="A4" t="n">
        <x:v>45352</x:v>
      </x:c>
      <x:c r="B4" t="str">
        <x:v>Liquid Handwash</x:v>
      </x:c>
      <x:c r="C4" t="str">
        <x:v>Personal Care</x:v>
      </x:c>
      <x:c r="D4" t="str">
        <x:v>Lifebuoy</x:v>
      </x:c>
      <x:c r="E4" t="str">
        <x:v>Sylhet</x:v>
      </x:c>
      <x:c r="F4" t="str">
        <x:v>Wholesale</x:v>
      </x:c>
      <x:c r="G4" t="n">
        <x:v>1460</x:v>
      </x:c>
      <x:c r="H4" t="n">
        <x:v>210</x:v>
      </x:c>
      <x:c r="I4" t="n">
        <x:v>306600</x:v>
      </x:c>
      <x:c r="J4" t="str"/>
    </x:row>
    <x:row r="5">
      <x:c r="A5" t="n">
        <x:v>45383</x:v>
      </x:c>
      <x:c r="B5" t="str">
        <x:v>Liquid Handwash</x:v>
      </x:c>
      <x:c r="C5" t="str">
        <x:v>Personal Care</x:v>
      </x:c>
      <x:c r="D5" t="str">
        <x:v>Lifebuoy</x:v>
      </x:c>
      <x:c r="E5" t="str">
        <x:v>Rajshahi</x:v>
      </x:c>
      <x:c r="F5" t="str">
        <x:v>Modern Trade</x:v>
      </x:c>
      <x:c r="G5" t="n">
        <x:v>1407</x:v>
      </x:c>
      <x:c r="H5" t="n">
        <x:v>210</x:v>
      </x:c>
      <x:c r="I5" t="n">
        <x:v>295470</x:v>
      </x:c>
      <x:c r="J5" t="str"/>
    </x:row>
    <x:row r="6">
      <x:c r="A6" t="n">
        <x:v>45383</x:v>
      </x:c>
      <x:c r="B6" t="str">
        <x:v>Liquid Handwash</x:v>
      </x:c>
      <x:c r="C6" t="str">
        <x:v>Personal Care</x:v>
      </x:c>
      <x:c r="D6" t="str">
        <x:v>Lifebuoy</x:v>
      </x:c>
      <x:c r="E6" t="str">
        <x:v>Rajshahi</x:v>
      </x:c>
      <x:c r="F6" t="str">
        <x:v>Modern Trade</x:v>
      </x:c>
      <x:c r="G6" t="n">
        <x:v>1407</x:v>
      </x:c>
      <x:c r="H6" t="n">
        <x:v>210</x:v>
      </x:c>
      <x:c r="I6" t="n">
        <x:v>295470</x:v>
      </x:c>
      <x:c r="J6" t="str">
        <x:v>DUPLICATE ROW - should be detected</x:v>
      </x:c>
    </x:row>
    <x:row r="7">
      <x:c r="A7" t="n">
        <x:v>45413</x:v>
      </x:c>
      <x:c r="B7" t="str">
        <x:v>Liquid Handwash</x:v>
      </x:c>
      <x:c r="C7" t="str">
        <x:v>Personal Care</x:v>
      </x:c>
      <x:c r="D7" t="str">
        <x:v>Lifebuoy</x:v>
      </x:c>
      <x:c r="E7" t="str">
        <x:v>Khulna</x:v>
      </x:c>
      <x:c r="F7" t="str">
        <x:v>Retail</x:v>
      </x:c>
      <x:c r="G7" t="n">
        <x:v>1477</x:v>
      </x:c>
      <x:c r="H7" t="n">
        <x:v>210</x:v>
      </x:c>
      <x:c r="I7" t="n">
        <x:v>310170</x:v>
      </x:c>
      <x:c r="J7" t="str"/>
    </x:row>
    <x:row r="8">
      <x:c r="A8" t="n">
        <x:v>45444</x:v>
      </x:c>
      <x:c r="B8" t="str">
        <x:v>Liquid Handwash</x:v>
      </x:c>
      <x:c r="C8" t="str">
        <x:v>Personal Care</x:v>
      </x:c>
      <x:c r="D8" t="str">
        <x:v>Lifebuoy</x:v>
      </x:c>
      <x:c r="E8" t="str">
        <x:v>Barishal</x:v>
      </x:c>
      <x:c r="F8" t="str">
        <x:v>Online</x:v>
      </x:c>
      <x:c r="G8" t="n">
        <x:v>1721</x:v>
      </x:c>
      <x:c r="H8" t="n">
        <x:v>210</x:v>
      </x:c>
      <x:c r="I8" t="n">
        <x:v>361410</x:v>
      </x:c>
      <x:c r="J8" t="str"/>
    </x:row>
    <x:row r="9">
      <x:c r="A9" t="n">
        <x:v>45474</x:v>
      </x:c>
      <x:c r="B9" t="str">
        <x:v>Liquid Handwash</x:v>
      </x:c>
      <x:c r="C9" t="str">
        <x:v>Personal Care</x:v>
      </x:c>
      <x:c r="D9" t="str">
        <x:v>Lifebuoy</x:v>
      </x:c>
      <x:c r="E9" t="str">
        <x:v>Rangpur</x:v>
      </x:c>
      <x:c r="F9" t="str">
        <x:v>Wholesale</x:v>
      </x:c>
      <x:c r="G9" t="n">
        <x:v>1668</x:v>
      </x:c>
      <x:c r="H9" t="n">
        <x:v>210</x:v>
      </x:c>
      <x:c r="I9" t="n">
        <x:v>350280</x:v>
      </x:c>
      <x:c r="J9" t="str"/>
    </x:row>
    <x:row r="10">
      <x:c r="A10" t="n">
        <x:v>45505</x:v>
      </x:c>
      <x:c r="B10" t="str">
        <x:v>Liquid Handwash</x:v>
      </x:c>
      <x:c r="C10" t="str">
        <x:v>Personal Care</x:v>
      </x:c>
      <x:c r="D10" t="str">
        <x:v>Lifebuoy</x:v>
      </x:c>
      <x:c r="E10" t="str">
        <x:v>Mymensingh</x:v>
      </x:c>
      <x:c r="F10" t="str">
        <x:v>Modern Trade</x:v>
      </x:c>
      <x:c r="G10" t="n">
        <x:v>1520</x:v>
      </x:c>
      <x:c r="H10" t="n">
        <x:v>210</x:v>
      </x:c>
      <x:c r="I10" t="n">
        <x:v>319200</x:v>
      </x:c>
      <x:c r="J10" t="str"/>
    </x:row>
    <x:row r="11">
      <x:c r="A11" t="n">
        <x:v>45505</x:v>
      </x:c>
      <x:c r="B11" t="str">
        <x:v>Liquid Handwash</x:v>
      </x:c>
      <x:c r="C11" t="str">
        <x:v>Personal Care</x:v>
      </x:c>
      <x:c r="D11" t="str">
        <x:v>Lifebuoy</x:v>
      </x:c>
      <x:c r="E11" t="str">
        <x:v>Mymensingh</x:v>
      </x:c>
      <x:c r="F11" t="str">
        <x:v>Modern Trade</x:v>
      </x:c>
      <x:c r="G11" t="n">
        <x:v>1520</x:v>
      </x:c>
      <x:c r="H11" t="n">
        <x:v>210</x:v>
      </x:c>
      <x:c r="I11" t="n">
        <x:v>319200</x:v>
      </x:c>
      <x:c r="J11" t="str">
        <x:v>DUPLICATE ROW - should be detected</x:v>
      </x:c>
    </x:row>
    <x:row r="12">
      <x:c r="A12" t="n">
        <x:v>45536</x:v>
      </x:c>
      <x:c r="B12" t="str">
        <x:v>Liquid Handwash</x:v>
      </x:c>
      <x:c r="C12" t="str">
        <x:v>Personal Care</x:v>
      </x:c>
      <x:c r="D12" t="str">
        <x:v>Lifebuoy</x:v>
      </x:c>
      <x:c r="E12" t="str">
        <x:v>Dhaka</x:v>
      </x:c>
      <x:c r="F12" t="str">
        <x:v>Retail</x:v>
      </x:c>
      <x:c r="G12" t="n">
        <x:v>1545</x:v>
      </x:c>
      <x:c r="H12" t="n">
        <x:v>210</x:v>
      </x:c>
      <x:c r="I12" t="n">
        <x:v>324450</x:v>
      </x:c>
      <x:c r="J12" t="str"/>
    </x:row>
    <x:row r="13">
      <x:c r="A13" t="n">
        <x:v>45566</x:v>
      </x:c>
      <x:c r="B13" t="str">
        <x:v>Liquid Handwash</x:v>
      </x:c>
      <x:c r="C13" t="str">
        <x:v>Personal Care</x:v>
      </x:c>
      <x:c r="D13" t="str">
        <x:v>Lifebuoy</x:v>
      </x:c>
      <x:c r="E13" t="str">
        <x:v>Chattogram</x:v>
      </x:c>
      <x:c r="F13" t="str">
        <x:v>Online</x:v>
      </x:c>
      <x:c r="G13" t="n">
        <x:v>1689</x:v>
      </x:c>
      <x:c r="H13" t="n">
        <x:v>210</x:v>
      </x:c>
      <x:c r="I13" t="n">
        <x:v>354690</x:v>
      </x:c>
      <x:c r="J13" t="str"/>
    </x:row>
    <x:row r="14">
      <x:c r="A14" t="n">
        <x:v>45597</x:v>
      </x:c>
      <x:c r="B14" t="str">
        <x:v>Liquid Handwash</x:v>
      </x:c>
      <x:c r="C14" t="str">
        <x:v>Personal Care</x:v>
      </x:c>
      <x:c r="D14" t="str">
        <x:v>Lifebuoy</x:v>
      </x:c>
      <x:c r="E14" t="str">
        <x:v>Sylhet</x:v>
      </x:c>
      <x:c r="F14" t="str">
        <x:v>Wholesale</x:v>
      </x:c>
      <x:c r="G14" t="n">
        <x:v>1686</x:v>
      </x:c>
      <x:c r="H14" t="n">
        <x:v>210</x:v>
      </x:c>
      <x:c r="I14" t="n">
        <x:v>354060</x:v>
      </x:c>
      <x:c r="J14" t="str"/>
    </x:row>
    <x:row r="15">
      <x:c r="A15" t="n">
        <x:v>45627</x:v>
      </x:c>
      <x:c r="B15" t="str">
        <x:v>Liquid Handwash</x:v>
      </x:c>
      <x:c r="C15" t="str">
        <x:v>Personal Care</x:v>
      </x:c>
      <x:c r="D15" t="str">
        <x:v>Lifebuoy</x:v>
      </x:c>
      <x:c r="E15" t="str">
        <x:v>Rajshahi</x:v>
      </x:c>
      <x:c r="F15" t="str">
        <x:v>Modern Trade</x:v>
      </x:c>
      <x:c r="G15" t="n">
        <x:v>1763</x:v>
      </x:c>
      <x:c r="H15" t="n">
        <x:v>210</x:v>
      </x:c>
      <x:c r="I15" t="n">
        <x:v>370230</x:v>
      </x:c>
      <x:c r="J15" t="str"/>
    </x:row>
    <x:row r="16">
      <x:c r="A16" t="n">
        <x:v>45658</x:v>
      </x:c>
      <x:c r="B16" t="str">
        <x:v>Liquid Handwash</x:v>
      </x:c>
      <x:c r="C16" t="str">
        <x:v>Personal Care</x:v>
      </x:c>
      <x:c r="D16" t="str">
        <x:v>Lifebuoy</x:v>
      </x:c>
      <x:c r="E16" t="str">
        <x:v>Khulna</x:v>
      </x:c>
      <x:c r="F16" t="str">
        <x:v>Retail</x:v>
      </x:c>
      <x:c r="G16" t="n">
        <x:v>1967</x:v>
      </x:c>
      <x:c r="H16" t="n">
        <x:v>210</x:v>
      </x:c>
      <x:c r="I16" t="n">
        <x:v>413070</x:v>
      </x:c>
      <x:c r="J16" t="str"/>
    </x:row>
    <x:row r="17">
      <x:c r="A17" t="n">
        <x:v>45689</x:v>
      </x:c>
      <x:c r="B17" t="str">
        <x:v>Liquid Handwash</x:v>
      </x:c>
      <x:c r="C17" t="str">
        <x:v>Personal Care</x:v>
      </x:c>
      <x:c r="D17" t="str">
        <x:v>Lifebuoy</x:v>
      </x:c>
      <x:c r="E17" t="str">
        <x:v>Barishal</x:v>
      </x:c>
      <x:c r="F17" t="str">
        <x:v>Online</x:v>
      </x:c>
      <x:c r="G17" t="n">
        <x:v>1667</x:v>
      </x:c>
      <x:c r="H17" t="n">
        <x:v>210</x:v>
      </x:c>
      <x:c r="I17" t="n">
        <x:v>350070</x:v>
      </x:c>
      <x:c r="J17" t="str"/>
    </x:row>
    <x:row r="18">
      <x:c r="A18" t="n">
        <x:v>45689</x:v>
      </x:c>
      <x:c r="B18" t="str">
        <x:v>Liquid Handwash</x:v>
      </x:c>
      <x:c r="C18" t="str">
        <x:v>Personal Care</x:v>
      </x:c>
      <x:c r="D18" t="str">
        <x:v>Lifebuoy</x:v>
      </x:c>
      <x:c r="E18" t="str">
        <x:v>Barishal</x:v>
      </x:c>
      <x:c r="F18" t="str">
        <x:v>Online</x:v>
      </x:c>
      <x:c r="G18" t="n">
        <x:v>1667</x:v>
      </x:c>
      <x:c r="H18" t="n">
        <x:v>210</x:v>
      </x:c>
      <x:c r="I18" t="n">
        <x:v>350070</x:v>
      </x:c>
      <x:c r="J18" t="str">
        <x:v>DUPLICATE ROW - should be detected</x:v>
      </x:c>
    </x:row>
    <x:row r="19">
      <x:c r="A19" t="n">
        <x:v>45717</x:v>
      </x:c>
      <x:c r="B19" t="str">
        <x:v>Liquid Handwash</x:v>
      </x:c>
      <x:c r="C19" t="str">
        <x:v>Personal Care</x:v>
      </x:c>
      <x:c r="D19" t="str">
        <x:v>Lifebuoy</x:v>
      </x:c>
      <x:c r="E19" t="str">
        <x:v>Rangpur</x:v>
      </x:c>
      <x:c r="F19" t="str">
        <x:v>Wholesale</x:v>
      </x:c>
      <x:c r="G19" t="n">
        <x:v>1731</x:v>
      </x:c>
      <x:c r="H19" t="n">
        <x:v>210</x:v>
      </x:c>
      <x:c r="I19" t="n">
        <x:v>363510</x:v>
      </x:c>
      <x:c r="J19" t="str"/>
    </x:row>
    <x:row r="20">
      <x:c r="A20" t="n">
        <x:v>45748</x:v>
      </x:c>
      <x:c r="B20" t="str">
        <x:v>Liquid Handwash</x:v>
      </x:c>
      <x:c r="C20" t="str">
        <x:v>Personal Care</x:v>
      </x:c>
      <x:c r="D20" t="str">
        <x:v>Lifebuoy</x:v>
      </x:c>
      <x:c r="E20" t="str">
        <x:v>Mymensingh</x:v>
      </x:c>
      <x:c r="F20" t="str">
        <x:v>Modern Trade</x:v>
      </x:c>
      <x:c r="G20" t="n">
        <x:v>1734</x:v>
      </x:c>
      <x:c r="H20" t="n">
        <x:v>210</x:v>
      </x:c>
      <x:c r="I20" t="n">
        <x:v>364140</x:v>
      </x:c>
      <x:c r="J20" t="str"/>
    </x:row>
    <x:row r="21">
      <x:c r="A21" t="n">
        <x:v>45778</x:v>
      </x:c>
      <x:c r="B21" t="str">
        <x:v>Liquid Handwash</x:v>
      </x:c>
      <x:c r="C21" t="str">
        <x:v>Personal Care</x:v>
      </x:c>
      <x:c r="D21" t="str">
        <x:v>Lifebuoy</x:v>
      </x:c>
      <x:c r="E21" t="str">
        <x:v>Dhaka</x:v>
      </x:c>
      <x:c r="F21" t="str">
        <x:v>Retail</x:v>
      </x:c>
      <x:c r="G21" t="n">
        <x:v>1690</x:v>
      </x:c>
      <x:c r="H21" t="n">
        <x:v>210</x:v>
      </x:c>
      <x:c r="I21" t="n">
        <x:v>354900</x:v>
      </x:c>
      <x:c r="J21" t="str"/>
    </x:row>
    <x:row r="22">
      <x:c r="A22" t="n">
        <x:v>45809</x:v>
      </x:c>
      <x:c r="B22" t="str">
        <x:v>Liquid Handwash</x:v>
      </x:c>
      <x:c r="C22" t="str">
        <x:v>Personal Care</x:v>
      </x:c>
      <x:c r="D22" t="str">
        <x:v>Lifebuoy</x:v>
      </x:c>
      <x:c r="E22" t="str">
        <x:v>Chattogram</x:v>
      </x:c>
      <x:c r="F22" t="str">
        <x:v>Online</x:v>
      </x:c>
      <x:c r="G22" t="n">
        <x:v>1728</x:v>
      </x:c>
      <x:c r="H22" t="n">
        <x:v>210</x:v>
      </x:c>
      <x:c r="I22" t="n">
        <x:v>362880</x:v>
      </x:c>
      <x:c r="J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LIF-DPF-17-01</x:v>
      </x:c>
      <x:c r="B2" t="str">
        <x:v>Liquid Handwash</x:v>
      </x:c>
      <x:c r="C2" t="str">
        <x:v>Personal Care</x:v>
      </x:c>
      <x:c r="D2" t="str">
        <x:v>Lifebuoy</x:v>
      </x:c>
      <x:c r="E2" t="str">
        <x:v>Dhaka</x:v>
      </x:c>
      <x:c r="F2" t="str">
        <x:v>Dhaka DC</x:v>
      </x:c>
      <x:c r="G2" t="n">
        <x:v>2847</x:v>
      </x:c>
      <x:c r="H2" t="n">
        <x:v>667</x:v>
      </x:c>
      <x:c r="I2" t="n">
        <x:v>1450</x:v>
      </x:c>
      <x:c r="J2" t="n">
        <x:v>97</x:v>
      </x:c>
      <x:c r="K2" t="n">
        <x:v>120</x:v>
      </x:c>
      <x:c r="L2" t="n">
        <x:v>45672</x:v>
      </x:c>
      <x:c r="M2" t="str">
        <x:v>OK</x:v>
      </x:c>
    </x:row>
    <x:row r="3">
      <x:c r="A3" t="str">
        <x:v>LIF-DPF-17-02</x:v>
      </x:c>
      <x:c r="B3" t="str">
        <x:v>Liquid Handwash</x:v>
      </x:c>
      <x:c r="C3" t="str">
        <x:v>Personal Care</x:v>
      </x:c>
      <x:c r="D3" t="str">
        <x:v>Lifebuoy</x:v>
      </x:c>
      <x:c r="E3" t="str">
        <x:v>Chattogram</x:v>
      </x:c>
      <x:c r="F3" t="str">
        <x:v>Chattogram DC</x:v>
      </x:c>
      <x:c r="G3" t="n">
        <x:v>3278</x:v>
      </x:c>
      <x:c r="H3" t="n">
        <x:v>530</x:v>
      </x:c>
      <x:c r="I3" t="n">
        <x:v>1119</x:v>
      </x:c>
      <x:c r="J3" t="n">
        <x:v>212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LIF-DPF-17-03</x:v>
      </x:c>
      <x:c r="B4" t="str">
        <x:v>Liquid Handwash</x:v>
      </x:c>
      <x:c r="C4" t="str">
        <x:v>Personal Care</x:v>
      </x:c>
      <x:c r="D4" t="str">
        <x:v>Lifebuoy</x:v>
      </x:c>
      <x:c r="E4" t="str">
        <x:v>Sylhet</x:v>
      </x:c>
      <x:c r="F4" t="str">
        <x:v>Sylhet DC</x:v>
      </x:c>
      <x:c r="G4" t="n">
        <x:v>1898</x:v>
      </x:c>
      <x:c r="H4" t="n">
        <x:v>581</x:v>
      </x:c>
      <x:c r="I4" t="n">
        <x:v>1358</x:v>
      </x:c>
      <x:c r="J4" t="n">
        <x:v>218</x:v>
      </x:c>
      <x:c r="K4" t="n">
        <x:v>120</x:v>
      </x:c>
      <x:c r="L4" t="n">
        <x:v>45674</x:v>
      </x:c>
      <x:c r="M4" t="str">
        <x:v>OK</x:v>
      </x:c>
    </x:row>
    <x:row r="5">
      <x:c r="A5" t="str">
        <x:v>LIF-DPF-17-04</x:v>
      </x:c>
      <x:c r="B5" t="str">
        <x:v>Liquid Handwash</x:v>
      </x:c>
      <x:c r="C5" t="str">
        <x:v>Personal Care</x:v>
      </x:c>
      <x:c r="D5" t="str">
        <x:v>Lifebuoy</x:v>
      </x:c>
      <x:c r="E5" t="str">
        <x:v>Rajshahi</x:v>
      </x:c>
      <x:c r="F5" t="str">
        <x:v>Rajshahi DC</x:v>
      </x:c>
      <x:c r="G5" t="n">
        <x:v>3723</x:v>
      </x:c>
      <x:c r="H5" t="n">
        <x:v>449</x:v>
      </x:c>
      <x:c r="I5" t="n">
        <x:v>1138</x:v>
      </x:c>
      <x:c r="J5" t="n">
        <x:v>324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LIF-DPF-17-05</x:v>
      </x:c>
      <x:c r="B6" t="str">
        <x:v>Liquid Handwash</x:v>
      </x:c>
      <x:c r="C6" t="str">
        <x:v>Personal Care</x:v>
      </x:c>
      <x:c r="D6" t="str">
        <x:v>Lifebuoy</x:v>
      </x:c>
      <x:c r="E6" t="str">
        <x:v>Khulna</x:v>
      </x:c>
      <x:c r="F6" t="str">
        <x:v>Khulna DC</x:v>
      </x:c>
      <x:c r="G6" t="n">
        <x:v>3026</x:v>
      </x:c>
      <x:c r="H6" t="n">
        <x:v>509</x:v>
      </x:c>
      <x:c r="I6" t="n">
        <x:v>1217</x:v>
      </x:c>
      <x:c r="J6" t="n">
        <x:v>517</x:v>
      </x:c>
      <x:c r="K6" t="n">
        <x:v>120</x:v>
      </x:c>
      <x:c r="L6" t="n">
        <x:v>45676</x:v>
      </x:c>
      <x:c r="M6" t="str">
        <x:v>Overstock Risk</x:v>
      </x:c>
    </x:row>
    <x:row r="7">
      <x:c r="A7" t="str">
        <x:v>LIF-DPF-17-06</x:v>
      </x:c>
      <x:c r="B7" t="str">
        <x:v>Liquid Handwash</x:v>
      </x:c>
      <x:c r="C7" t="str">
        <x:v>Personal Care</x:v>
      </x:c>
      <x:c r="D7" t="str">
        <x:v>Lifebuoy</x:v>
      </x:c>
      <x:c r="E7" t="str">
        <x:v>Barishal</x:v>
      </x:c>
      <x:c r="F7" t="str">
        <x:v>Barishal DC</x:v>
      </x:c>
      <x:c r="G7" t="n">
        <x:v>1277</x:v>
      </x:c>
      <x:c r="H7" t="n">
        <x:v>443</x:v>
      </x:c>
      <x:c r="I7" t="n">
        <x:v>1269</x:v>
      </x:c>
      <x:c r="J7" t="n">
        <x:v>615</x:v>
      </x:c>
      <x:c r="K7" t="n">
        <x:v>120</x:v>
      </x:c>
      <x:c r="L7" t="n">
        <x:v>45677</x:v>
      </x:c>
      <x:c r="M7" t="str">
        <x:v>OK</x:v>
      </x:c>
    </x:row>
    <x:row r="8">
      <x:c r="A8" t="str">
        <x:v>LIF-DPF-17-07</x:v>
      </x:c>
      <x:c r="B8" t="str">
        <x:v>Liquid Handwash</x:v>
      </x:c>
      <x:c r="C8" t="str">
        <x:v>Personal Care</x:v>
      </x:c>
      <x:c r="D8" t="str">
        <x:v>Lifebuoy</x:v>
      </x:c>
      <x:c r="E8" t="str">
        <x:v>Rangpur</x:v>
      </x:c>
      <x:c r="F8" t="str">
        <x:v>Rangpur DC</x:v>
      </x:c>
      <x:c r="G8" t="n">
        <x:v>1251</x:v>
      </x:c>
      <x:c r="H8" t="n">
        <x:v>667</x:v>
      </x:c>
      <x:c r="I8" t="n">
        <x:v>1346</x:v>
      </x:c>
      <x:c r="J8" t="n">
        <x:v>422</x:v>
      </x:c>
      <x:c r="K8" t="n">
        <x:v>120</x:v>
      </x:c>
      <x:c r="L8" t="n">
        <x:v>45678</x:v>
      </x:c>
      <x:c r="M8" t="str">
        <x:v>Reorder Needed</x:v>
      </x:c>
    </x:row>
    <x:row r="9">
      <x:c r="A9" t="str">
        <x:v>LIF-DPF-17-08</x:v>
      </x:c>
      <x:c r="B9" t="str">
        <x:v>Liquid Handwash</x:v>
      </x:c>
      <x:c r="C9" t="str">
        <x:v>Personal Care</x:v>
      </x:c>
      <x:c r="D9" t="str">
        <x:v>Lifebuoy</x:v>
      </x:c>
      <x:c r="E9" t="str">
        <x:v>Mymensingh</x:v>
      </x:c>
      <x:c r="F9" t="str">
        <x:v>Mymensingh DC</x:v>
      </x:c>
      <x:c r="G9" t="n">
        <x:v>2728</x:v>
      </x:c>
      <x:c r="H9" t="n">
        <x:v>600</x:v>
      </x:c>
      <x:c r="I9" t="n">
        <x:v>1243</x:v>
      </x:c>
      <x:c r="J9" t="n">
        <x:v>522</x:v>
      </x:c>
      <x:c r="K9" t="n">
        <x:v>120</x:v>
      </x:c>
      <x:c r="L9" t="n">
        <x:v>45679</x:v>
      </x:c>
      <x:c r="M9" t="str">
        <x:v>Overstock Risk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12.3</x:v>
      </x:c>
      <x:c r="G2" t="n">
        <x:v>8.4</x:v>
      </x:c>
      <x:c r="H2" t="n">
        <x:v>151225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26</x:v>
      </x:c>
      <x:c r="G3" t="n">
        <x:v>18.9</x:v>
      </x:c>
      <x:c r="H3" t="n">
        <x:v>151457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27.4</x:v>
      </x:c>
      <x:c r="G4" t="n">
        <x:v>23.3</x:v>
      </x:c>
      <x:c r="H4" t="n">
        <x:v>73843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14.6</x:v>
      </x:c>
      <x:c r="G5" t="n">
        <x:v>11</x:v>
      </x:c>
      <x:c r="H5" t="n">
        <x:v>121650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Personal Care</x:v>
      </x:c>
      <x:c r="E2" t="n">
        <x:v>234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Personal Care</x:v>
      </x:c>
      <x:c r="E3" t="n">
        <x:v>202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Personal Care</x:v>
      </x:c>
      <x:c r="E4" t="n">
        <x:v>174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Personal Care</x:v>
      </x:c>
      <x:c r="E5" t="n">
        <x:v>224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</x:v>
      </x:c>
      <x:c r="C2" t="n">
        <x:v>99.43</x:v>
      </x:c>
      <x:c r="D2" t="n">
        <x:v>87.41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7.7</x:v>
      </x:c>
      <x:c r="C3" t="n">
        <x:v>99.86</x:v>
      </x:c>
      <x:c r="D3" t="n">
        <x:v>86.86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8.47</x:v>
      </x:c>
      <x:c r="C4" t="n">
        <x:v>99.67</x:v>
      </x:c>
      <x:c r="D4" t="n">
        <x:v>85.5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8.58</x:v>
      </x:c>
      <x:c r="C5" t="n">
        <x:v>100.39</x:v>
      </x:c>
      <x:c r="D5" t="n">
        <x:v>85.53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8.54</x:v>
      </x:c>
      <x:c r="C6" t="n">
        <x:v>101.02</x:v>
      </x:c>
      <x:c r="D6" t="n">
        <x:v>85.78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8.72</x:v>
      </x:c>
      <x:c r="C7" t="n">
        <x:v>100.62</x:v>
      </x:c>
      <x:c r="D7" t="n">
        <x:v>85.35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8.46</x:v>
      </x:c>
      <x:c r="C8" t="n">
        <x:v>101.07</x:v>
      </x:c>
      <x:c r="D8" t="n">
        <x:v>85.94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8.19</x:v>
      </x:c>
      <x:c r="C9" t="n">
        <x:v>102.87</x:v>
      </x:c>
      <x:c r="D9" t="n">
        <x:v>86.94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8.06</x:v>
      </x:c>
      <x:c r="C10" t="n">
        <x:v>102.66</x:v>
      </x:c>
      <x:c r="D10" t="n">
        <x:v>87.09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7.85</x:v>
      </x:c>
      <x:c r="C11" t="n">
        <x:v>103.29</x:v>
      </x:c>
      <x:c r="D11" t="n">
        <x:v>87.64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7.56</x:v>
      </x:c>
      <x:c r="C12" t="n">
        <x:v>103.56</x:v>
      </x:c>
      <x:c r="D12" t="n">
        <x:v>88.21</x:v>
      </x:c>
      <x:c r="E12" t="n">
        <x:v>113</x:v>
      </x:c>
      <x:c r="F12" t="str">
        <x:v>Medium</x:v>
      </x:c>
      <x:c r="G12" t="str">
        <x:v>Economic conditions for demand adjustment</x:v>
      </x:c>
    </x:row>
    <x:row r="13">
      <x:c r="A13" t="n">
        <x:v>45627</x:v>
      </x:c>
      <x:c r="B13" t="n">
        <x:v>6.81</x:v>
      </x:c>
      <x:c r="C13" t="n">
        <x:v>103.39</x:v>
      </x:c>
      <x:c r="D13" t="n">
        <x:v>89.43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6.58</x:v>
      </x:c>
      <x:c r="C14" t="n">
        <x:v>104.43</x:v>
      </x:c>
      <x:c r="D14" t="n">
        <x:v>90.14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6.39</x:v>
      </x:c>
      <x:c r="C15" t="n">
        <x:v>103.68</x:v>
      </x:c>
      <x:c r="D15" t="n">
        <x:v>90.25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6.11</x:v>
      </x:c>
      <x:c r="C16" t="n">
        <x:v>103.84</x:v>
      </x:c>
      <x:c r="D16" t="n">
        <x:v>90.77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6.18</x:v>
      </x:c>
      <x:c r="C17" t="n">
        <x:v>105.29</x:v>
      </x:c>
      <x:c r="D17" t="n">
        <x:v>91.08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6.69</x:v>
      </x:c>
      <x:c r="C18" t="n">
        <x:v>103.92</x:v>
      </x:c>
      <x:c r="D18" t="n">
        <x:v>89.8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7.1</x:v>
      </x:c>
      <x:c r="C19" t="n">
        <x:v>105.16</x:v>
      </x:c>
      <x:c r="D19" t="n">
        <x:v>89.48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8</x:v>
      </x:c>
      <x:c r="F2" t="n">
        <x:v>4</x:v>
      </x:c>
      <x:c r="G2" t="n">
        <x:v>1</x:v>
      </x:c>
      <x:c r="H2" t="n">
        <x:v>19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3</x:v>
      </x:c>
      <x:c r="E3" t="n">
        <x:v>8</x:v>
      </x:c>
      <x:c r="F3" t="n">
        <x:v>6</x:v>
      </x:c>
      <x:c r="G3" t="n">
        <x:v>5</x:v>
      </x:c>
      <x:c r="H3" t="n">
        <x:v>22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2</x:v>
      </x:c>
      <x:c r="E4" t="n">
        <x:v>8</x:v>
      </x:c>
      <x:c r="F4" t="n">
        <x:v>8</x:v>
      </x:c>
      <x:c r="G4" t="n">
        <x:v>3</x:v>
      </x:c>
      <x:c r="H4" t="n">
        <x:v>21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3</x:v>
      </x:c>
      <x:c r="E5" t="n">
        <x:v>7</x:v>
      </x:c>
      <x:c r="F5" t="n">
        <x:v>5</x:v>
      </x:c>
      <x:c r="G5" t="n">
        <x:v>5</x:v>
      </x:c>
      <x:c r="H5" t="n">
        <x:v>20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1445</x:v>
      </x:c>
      <x:c r="C2" t="n">
        <x:v>1612</x:v>
      </x:c>
      <x:c r="D2" t="n">
        <x:f>C2-B2</x:f>
        <x:v>167</x:v>
      </x:c>
      <x:c r="E2" t="n">
        <x:f>ABS(D2)</x:f>
        <x:v>167</x:v>
      </x:c>
      <x:c r="F2" s="22" t="n">
        <x:f>IFERROR(E2/C2,0)</x:f>
        <x:v>0.10359801488833748</x:v>
      </x:c>
      <x:c r="G2" t="str">
        <x:v>Formula columns should calculate error and accuracy</x:v>
      </x:c>
    </x:row>
    <x:row r="3">
      <x:c r="A3" t="n">
        <x:v>45505</x:v>
      </x:c>
      <x:c r="B3" t="n">
        <x:v>1487</x:v>
      </x:c>
      <x:c r="C3" t="n">
        <x:v>1571</x:v>
      </x:c>
      <x:c r="D3" t="n">
        <x:f>C3-B3</x:f>
        <x:v>84</x:v>
      </x:c>
      <x:c r="E3" t="n">
        <x:f>ABS(D3)</x:f>
        <x:v>84</x:v>
      </x:c>
      <x:c r="F3" s="22" t="n">
        <x:f>IFERROR(E3/C3,0)</x:f>
        <x:v>0.05346912794398472</x:v>
      </x:c>
      <x:c r="G3" t="str">
        <x:v>Formula columns should calculate error and accuracy</x:v>
      </x:c>
    </x:row>
    <x:row r="4">
      <x:c r="A4" t="n">
        <x:v>45536</x:v>
      </x:c>
      <x:c r="B4" t="n">
        <x:v>1623</x:v>
      </x:c>
      <x:c r="C4" t="n">
        <x:v>1559</x:v>
      </x:c>
      <x:c r="D4" t="n">
        <x:f>C4-B4</x:f>
        <x:v>-64</x:v>
      </x:c>
      <x:c r="E4" t="n">
        <x:f>ABS(D4)</x:f>
        <x:v>64</x:v>
      </x:c>
      <x:c r="F4" s="22" t="n">
        <x:f>IFERROR(E4/C4,0)</x:f>
        <x:v>0.04105195638229634</x:v>
      </x:c>
      <x:c r="G4" t="str">
        <x:v>Formula columns should calculate error and accuracy</x:v>
      </x:c>
    </x:row>
    <x:row r="5">
      <x:c r="A5" t="n">
        <x:v>45566</x:v>
      </x:c>
      <x:c r="B5" t="n">
        <x:v>1612</x:v>
      </x:c>
      <x:c r="C5" t="n">
        <x:v>1413</x:v>
      </x:c>
      <x:c r="D5" t="n">
        <x:f>C5-B5</x:f>
        <x:v>-199</x:v>
      </x:c>
      <x:c r="E5" t="n">
        <x:f>ABS(D5)</x:f>
        <x:v>199</x:v>
      </x:c>
      <x:c r="F5" s="22" t="n">
        <x:f>IFERROR(E5/C5,0)</x:f>
        <x:v>0.1408351026185421</x:v>
      </x:c>
      <x:c r="G5" t="str">
        <x:v>Formula columns should calculate error and accuracy</x:v>
      </x:c>
    </x:row>
    <x:row r="6">
      <x:c r="A6" t="n">
        <x:v>45597</x:v>
      </x:c>
      <x:c r="B6" t="n">
        <x:v>1765</x:v>
      </x:c>
      <x:c r="C6" t="n">
        <x:v>2038</x:v>
      </x:c>
      <x:c r="D6" t="n">
        <x:f>C6-B6</x:f>
        <x:v>273</x:v>
      </x:c>
      <x:c r="E6" t="n">
        <x:f>ABS(D6)</x:f>
        <x:v>273</x:v>
      </x:c>
      <x:c r="F6" s="22" t="n">
        <x:f>IFERROR(E6/C6,0)</x:f>
        <x:v>0.133954857703631</x:v>
      </x:c>
      <x:c r="G6" t="str">
        <x:v>Formula columns should calculate error and accuracy</x:v>
      </x:c>
    </x:row>
    <x:row r="7">
      <x:c r="A7" t="n">
        <x:v>45627</x:v>
      </x:c>
      <x:c r="B7" t="n">
        <x:v>1752</x:v>
      </x:c>
      <x:c r="C7" t="n">
        <x:v>2117</x:v>
      </x:c>
      <x:c r="D7" t="n">
        <x:f>C7-B7</x:f>
        <x:v>365</x:v>
      </x:c>
      <x:c r="E7" t="n">
        <x:f>ABS(D7)</x:f>
        <x:v>365</x:v>
      </x:c>
      <x:c r="F7" s="22" t="n">
        <x:f>IFERROR(E7/C7,0)</x:f>
        <x:v>0.1724137931034483</x:v>
      </x:c>
      <x:c r="G7" t="str">
        <x:v>Formula columns should calculate error and accuracy</x:v>
      </x:c>
    </x:row>
    <x:row r="8">
      <x:c r="A8" t="n">
        <x:v>45658</x:v>
      </x:c>
      <x:c r="B8" t="n">
        <x:v>1694</x:v>
      </x:c>
      <x:c r="C8" t="n">
        <x:v>1508</x:v>
      </x:c>
      <x:c r="D8" t="n">
        <x:f>C8-B8</x:f>
        <x:v>-186</x:v>
      </x:c>
      <x:c r="E8" t="n">
        <x:f>ABS(D8)</x:f>
        <x:v>186</x:v>
      </x:c>
      <x:c r="F8" s="22" t="n">
        <x:f>IFERROR(E8/C8,0)</x:f>
        <x:v>0.123342175066313</x:v>
      </x:c>
      <x:c r="G8" t="str">
        <x:v>Formula columns should calculate error and accuracy</x:v>
      </x:c>
    </x:row>
    <x:row r="9">
      <x:c r="A9" t="n">
        <x:v>45689</x:v>
      </x:c>
      <x:c r="B9" t="n">
        <x:v>1552</x:v>
      </x:c>
      <x:c r="C9" t="n">
        <x:v>1308</x:v>
      </x:c>
      <x:c r="D9" t="n">
        <x:f>C9-B9</x:f>
        <x:v>-244</x:v>
      </x:c>
      <x:c r="E9" t="n">
        <x:f>ABS(D9)</x:f>
        <x:v>244</x:v>
      </x:c>
      <x:c r="F9" s="22" t="n">
        <x:f>IFERROR(E9/C9,0)</x:f>
        <x:v>0.18654434250764526</x:v>
      </x:c>
      <x:c r="G9" t="str">
        <x:v>Formula columns should calculate error and accuracy</x:v>
      </x:c>
    </x:row>
    <x:row r="10">
      <x:c r="A10" t="n">
        <x:v>45717</x:v>
      </x:c>
      <x:c r="B10" t="n">
        <x:v>1775</x:v>
      </x:c>
      <x:c r="C10" t="n">
        <x:v>1470</x:v>
      </x:c>
      <x:c r="D10" t="n">
        <x:f>C10-B10</x:f>
        <x:v>-305</x:v>
      </x:c>
      <x:c r="E10" t="n">
        <x:f>ABS(D10)</x:f>
        <x:v>305</x:v>
      </x:c>
      <x:c r="F10" s="22" t="n">
        <x:f>IFERROR(E10/C10,0)</x:f>
        <x:v>0.20748299319727892</x:v>
      </x:c>
      <x:c r="G10" t="str">
        <x:v>Formula columns should calculate error and accuracy</x:v>
      </x:c>
    </x:row>
    <x:row r="11">
      <x:c r="A11" t="n">
        <x:v>45748</x:v>
      </x:c>
      <x:c r="B11" t="n">
        <x:v>1762</x:v>
      </x:c>
      <x:c r="C11" t="n">
        <x:v>1679</x:v>
      </x:c>
      <x:c r="D11" t="n">
        <x:f>C11-B11</x:f>
        <x:v>-83</x:v>
      </x:c>
      <x:c r="E11" t="n">
        <x:f>ABS(D11)</x:f>
        <x:v>83</x:v>
      </x:c>
      <x:c r="F11" s="22" t="n">
        <x:f>IFERROR(E11/C11,0)</x:f>
        <x:v>0.049434187016081</x:v>
      </x:c>
      <x:c r="G11" t="str">
        <x:v>Formula columns should calculate error and accuracy</x:v>
      </x:c>
    </x:row>
    <x:row r="12">
      <x:c r="A12" t="n">
        <x:v>45778</x:v>
      </x:c>
      <x:c r="B12" t="n">
        <x:v>1841</x:v>
      </x:c>
      <x:c r="C12" t="n">
        <x:v>2103</x:v>
      </x:c>
      <x:c r="D12" t="n">
        <x:f>C12-B12</x:f>
        <x:v>262</x:v>
      </x:c>
      <x:c r="E12" t="n">
        <x:f>ABS(D12)</x:f>
        <x:v>262</x:v>
      </x:c>
      <x:c r="F12" s="22" t="n">
        <x:f>IFERROR(E12/C12,0)</x:f>
        <x:v>0.12458392772230148</x:v>
      </x:c>
      <x:c r="G12" t="str">
        <x:v>Formula columns should calculate error and accuracy</x:v>
      </x:c>
    </x:row>
    <x:row r="13">
      <x:c r="A13" t="n">
        <x:v>45809</x:v>
      </x:c>
      <x:c r="B13" t="n">
        <x:v>1772</x:v>
      </x:c>
      <x:c r="C13" t="n">
        <x:v>1579</x:v>
      </x:c>
      <x:c r="D13" t="n">
        <x:f>C13-B13</x:f>
        <x:v>-193</x:v>
      </x:c>
      <x:c r="E13" t="n">
        <x:f>ABS(D13)</x:f>
        <x:v>193</x:v>
      </x:c>
      <x:c r="F13" s="22" t="n">
        <x:f>IFERROR(E13/C13,0)</x:f>
        <x:v>0.12222925902469918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73</x:v>
      </x:c>
      <x:c r="E2" t="n">
        <x:v>854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54</x:v>
      </x:c>
      <x:c r="E3" t="n">
        <x:v>845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54</x:v>
      </x:c>
      <x:c r="E4" t="n">
        <x:v>921</x:v>
      </x:c>
      <x:c r="F4" t="str">
        <x:v>Low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78</x:v>
      </x:c>
      <x:c r="E5" t="n">
        <x:v>1381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49</x:v>
      </x:c>
      <x:c r="E6" t="n">
        <x:v>689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87</x:v>
      </x:c>
      <x:c r="E7" t="n">
        <x:v>1237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51</x:v>
      </x:c>
      <x:c r="E8" t="n">
        <x:v>702</x:v>
      </x:c>
      <x:c r="F8" t="str">
        <x:v>Low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65</x:v>
      </x:c>
      <x:c r="E9" t="n">
        <x:v>798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7</x:v>
      </x:c>
      <x:c r="F2" t="n">
        <x:v>1874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Festival-based</x:v>
      </x:c>
      <x:c r="E3" t="n">
        <x:v>6</x:v>
      </x:c>
      <x:c r="F3" t="n">
        <x:v>1140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4</x:v>
      </x:c>
      <x:c r="F4" t="n">
        <x:v>1007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Bi-weekly</x:v>
      </x:c>
      <x:c r="E5" t="n">
        <x:v>7</x:v>
      </x:c>
      <x:c r="F5" t="n">
        <x:v>1447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3</x:v>
      </x:c>
      <x:c r="F6" t="n">
        <x:v>571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50</x:v>
      </x:c>
      <x:c r="F2" t="n">
        <x:v>97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166</x:v>
      </x:c>
      <x:c r="F3" t="n">
        <x:v>82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82</x:v>
      </x:c>
      <x:c r="F4" t="n">
        <x:v>71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10</x:v>
      </x:c>
      <x:c r="F5" t="n">
        <x:v>79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Liquid Handwash Lifebuoy Personal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Liquid Handwash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Personal Care competitor pricing promotions Bangladesh Lifebuoy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Liquid Handwash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70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89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90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Some sales rows are duplicated.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